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irst Sheet" sheetId="1" r:id="rId5"/>
  </sheets>
  <definedNames/>
  <calcPr/>
</workbook>
</file>

<file path=xl/sharedStrings.xml><?xml version="1.0" encoding="utf-8"?>
<sst xmlns="http://schemas.openxmlformats.org/spreadsheetml/2006/main" count="212" uniqueCount="187">
  <si>
    <t>ROLL NO</t>
  </si>
  <si>
    <t>NAME</t>
  </si>
  <si>
    <t>MOTHER'S NAME</t>
  </si>
  <si>
    <t>FATHER'S NAME</t>
  </si>
  <si>
    <t>ENGLISH CORE</t>
  </si>
  <si>
    <t>HINDI CORE</t>
  </si>
  <si>
    <t>MATHEMATICS</t>
  </si>
  <si>
    <t>PHYSICS</t>
  </si>
  <si>
    <t>CHEMISTRY</t>
  </si>
  <si>
    <t>COMPUTER_SCIENCE</t>
  </si>
  <si>
    <t>YOGA</t>
  </si>
  <si>
    <t>Total</t>
  </si>
  <si>
    <t xml:space="preserve">Percentage </t>
  </si>
  <si>
    <t>RANK</t>
  </si>
  <si>
    <t>Theory</t>
  </si>
  <si>
    <t>Internal</t>
  </si>
  <si>
    <t xml:space="preserve">Theory </t>
  </si>
  <si>
    <t xml:space="preserve">Total </t>
  </si>
  <si>
    <t>Practical</t>
  </si>
  <si>
    <t xml:space="preserve">Practical </t>
  </si>
  <si>
    <t>Main 5</t>
  </si>
  <si>
    <t>Top 5</t>
  </si>
  <si>
    <t>all6</t>
  </si>
  <si>
    <t>all 6</t>
  </si>
  <si>
    <t>25605093</t>
  </si>
  <si>
    <t>AARJU KHARKWAL</t>
  </si>
  <si>
    <t>REKHA KHARKWAL</t>
  </si>
  <si>
    <t>MOHAN CHANDRA KHARKWAL</t>
  </si>
  <si>
    <t>25605094</t>
  </si>
  <si>
    <t>AKANKSHA JOSHI</t>
  </si>
  <si>
    <t>MAMTA JOSHI</t>
  </si>
  <si>
    <t>MOHAN CHANDRA JOSHI</t>
  </si>
  <si>
    <t>25605095</t>
  </si>
  <si>
    <t>DEEPIKA MAHRA</t>
  </si>
  <si>
    <t>LAXMI DEVI</t>
  </si>
  <si>
    <t>SHYAM SINGH MAHRA</t>
  </si>
  <si>
    <t>25605096</t>
  </si>
  <si>
    <t>DIYA BURATHI</t>
  </si>
  <si>
    <t>NISHA DEVI</t>
  </si>
  <si>
    <t>LAXMAN SINGH BURATHI</t>
  </si>
  <si>
    <t>25605097</t>
  </si>
  <si>
    <t>GARIMA JOSHI</t>
  </si>
  <si>
    <t>GIRISH CHANDRA JOSHI</t>
  </si>
  <si>
    <t>25605098</t>
  </si>
  <si>
    <t>KESHAVI DEVI</t>
  </si>
  <si>
    <t>RAMESH CHANDRA</t>
  </si>
  <si>
    <t>25605099</t>
  </si>
  <si>
    <t>HIMANSHI CHAND</t>
  </si>
  <si>
    <t>NEEMA CHAND</t>
  </si>
  <si>
    <t>GANESH CHAND</t>
  </si>
  <si>
    <t>25605100</t>
  </si>
  <si>
    <t>KANAK SIRARI</t>
  </si>
  <si>
    <t>KIRAN SIRARI</t>
  </si>
  <si>
    <t>TRIBHUWAN SIRARI</t>
  </si>
  <si>
    <t>25605101</t>
  </si>
  <si>
    <t>KASHISH SAMANT</t>
  </si>
  <si>
    <t>KAMLA DEVI</t>
  </si>
  <si>
    <t>KAILASH SINGH SAMANT</t>
  </si>
  <si>
    <t>25605102</t>
  </si>
  <si>
    <t>POOJA MAHAR</t>
  </si>
  <si>
    <t>GOVINDI DEVI</t>
  </si>
  <si>
    <t>JEET SINGH</t>
  </si>
  <si>
    <t>25605103</t>
  </si>
  <si>
    <t>RANI MAHAR</t>
  </si>
  <si>
    <t>REKHA DEVI</t>
  </si>
  <si>
    <t>KHEEM SINGH</t>
  </si>
  <si>
    <t>25605104</t>
  </si>
  <si>
    <t>SHEETAL MEHTA</t>
  </si>
  <si>
    <t>NANDA DEVI</t>
  </si>
  <si>
    <t>SHYAM SINGH MEHTA</t>
  </si>
  <si>
    <t>25605105</t>
  </si>
  <si>
    <t>TANUJA FARTYAL</t>
  </si>
  <si>
    <t>GANGA DEVI</t>
  </si>
  <si>
    <t>NAVEEN SINGH FARTYAL</t>
  </si>
  <si>
    <t>25605106</t>
  </si>
  <si>
    <t>VAISHNAVI BOHRA</t>
  </si>
  <si>
    <t>BABITA BOHRA</t>
  </si>
  <si>
    <t>HIRA SINGH BOHRA</t>
  </si>
  <si>
    <t>25605107</t>
  </si>
  <si>
    <t>AARYAN SINGH ADHIKARI</t>
  </si>
  <si>
    <t>PREMA DEVI</t>
  </si>
  <si>
    <t>KUNDAN SINGH</t>
  </si>
  <si>
    <t>25605108</t>
  </si>
  <si>
    <t>AMAN SINGH JYAL</t>
  </si>
  <si>
    <t>HEMA DEVI</t>
  </si>
  <si>
    <t>MAHENDRA SINGH JYAL</t>
  </si>
  <si>
    <t>25605109</t>
  </si>
  <si>
    <t>AMAN SINGH MEHTA</t>
  </si>
  <si>
    <t>BHAGWATI MEHTA</t>
  </si>
  <si>
    <t>PRAKASH SINGH MEHTA</t>
  </si>
  <si>
    <t>25605110</t>
  </si>
  <si>
    <t>ARSHAY SHARMA</t>
  </si>
  <si>
    <t>NEELAM SHARMA</t>
  </si>
  <si>
    <t>RAMESH CHANDRA SHARMA</t>
  </si>
  <si>
    <t>25605111</t>
  </si>
  <si>
    <t>AYUSH BISHT</t>
  </si>
  <si>
    <t>MANJU DEVI</t>
  </si>
  <si>
    <t>JOT SINGH BISHT</t>
  </si>
  <si>
    <t>25605112</t>
  </si>
  <si>
    <t>AYUSH SINGH</t>
  </si>
  <si>
    <t>KALAWATI DEVI</t>
  </si>
  <si>
    <t>SOBAN SINGH</t>
  </si>
  <si>
    <t>25605113</t>
  </si>
  <si>
    <t>AYUSH TIWARI</t>
  </si>
  <si>
    <t>ANITA TIWARI</t>
  </si>
  <si>
    <t>BHUWAN CHANDRA TIWARI</t>
  </si>
  <si>
    <t>25605114</t>
  </si>
  <si>
    <t>BHASKAR SINGH</t>
  </si>
  <si>
    <t>PARWATI DEVI</t>
  </si>
  <si>
    <t>GOVIND SINGH</t>
  </si>
  <si>
    <t>25605115</t>
  </si>
  <si>
    <t>HARSH KHARKWAL</t>
  </si>
  <si>
    <t>MEENA KHARKWAL</t>
  </si>
  <si>
    <t>SUNIL DATT KHARKWAL</t>
  </si>
  <si>
    <t>25605116</t>
  </si>
  <si>
    <t>HARSHIT KUMAR</t>
  </si>
  <si>
    <t>RENU DEVI</t>
  </si>
  <si>
    <t>NAVEEN KUMAR</t>
  </si>
  <si>
    <t>25605117</t>
  </si>
  <si>
    <t>KAMAL JOSHI</t>
  </si>
  <si>
    <t>MADHAVI JOSHI</t>
  </si>
  <si>
    <t>SHANKAR JOSHI</t>
  </si>
  <si>
    <t>25605118</t>
  </si>
  <si>
    <t>KAPIL JOSHI</t>
  </si>
  <si>
    <t>SHOBHA JOSHI</t>
  </si>
  <si>
    <t>HARISH CHANDRA JOSHI</t>
  </si>
  <si>
    <t>25605119</t>
  </si>
  <si>
    <t>KAPIL SINGH</t>
  </si>
  <si>
    <t>BABITA DEVI</t>
  </si>
  <si>
    <t>DHAN SINGH</t>
  </si>
  <si>
    <t>25605120</t>
  </si>
  <si>
    <t>MAYANK JOSHI</t>
  </si>
  <si>
    <t>VIMLA JOSHI</t>
  </si>
  <si>
    <t>GANESH DUTT JOSHI</t>
  </si>
  <si>
    <t>25605121</t>
  </si>
  <si>
    <t>MAYANK SHARMA</t>
  </si>
  <si>
    <t>MEERA SHARMA</t>
  </si>
  <si>
    <t>HARISH CHANDRA SHARMA</t>
  </si>
  <si>
    <t>25605122</t>
  </si>
  <si>
    <t>MOHIT GAHTORI</t>
  </si>
  <si>
    <t>GIRISH CHANDRA GAHTORI</t>
  </si>
  <si>
    <t>25605123</t>
  </si>
  <si>
    <t>MUKESH SINGH BOHRA</t>
  </si>
  <si>
    <t>DIGARI DEVI</t>
  </si>
  <si>
    <t>FAKIR SINGH</t>
  </si>
  <si>
    <t>25605124</t>
  </si>
  <si>
    <t>NAKUL SINGH DHAUNI</t>
  </si>
  <si>
    <t>NITU DHAUNI</t>
  </si>
  <si>
    <t>KRISHNA SINGH DHAUNI</t>
  </si>
  <si>
    <t>25605125</t>
  </si>
  <si>
    <t>PAWAN BHATT</t>
  </si>
  <si>
    <t>GEETA DEVI</t>
  </si>
  <si>
    <t>MANOJ BHATT</t>
  </si>
  <si>
    <t>25605126</t>
  </si>
  <si>
    <t>PRADEEP SINGH</t>
  </si>
  <si>
    <t>ISHWARI DEVI</t>
  </si>
  <si>
    <t>25605127</t>
  </si>
  <si>
    <t>RAJENDRA SINGH</t>
  </si>
  <si>
    <t>SHYAM SINGH</t>
  </si>
  <si>
    <t>25605128</t>
  </si>
  <si>
    <t>RUDRANSH SINGH</t>
  </si>
  <si>
    <t>SARIKA GUPTA</t>
  </si>
  <si>
    <t>VIJENDRA SINGH</t>
  </si>
  <si>
    <t>25605129</t>
  </si>
  <si>
    <t>SACHIN KUMAR</t>
  </si>
  <si>
    <t>BHUWNESHWARI DEVI</t>
  </si>
  <si>
    <t>NARAYAN RAM</t>
  </si>
  <si>
    <t>25605130</t>
  </si>
  <si>
    <t>SANDEEP SINGH</t>
  </si>
  <si>
    <t>RADHA DEVI</t>
  </si>
  <si>
    <t>DIWAN SINGH</t>
  </si>
  <si>
    <t>25605131</t>
  </si>
  <si>
    <t>SAURABH SUTERI</t>
  </si>
  <si>
    <t>KAMLA SUTERI</t>
  </si>
  <si>
    <t>RAJENDRA SUTERI</t>
  </si>
  <si>
    <t>25605132</t>
  </si>
  <si>
    <t>SIDDHANT KARNATAK</t>
  </si>
  <si>
    <t>ASHA KARNATAK</t>
  </si>
  <si>
    <t>LAXMI NARAYAN KARNATAK</t>
  </si>
  <si>
    <t>TOTAL</t>
  </si>
  <si>
    <t>AVERAGE</t>
  </si>
  <si>
    <t>MAX</t>
  </si>
  <si>
    <t>MIN</t>
  </si>
  <si>
    <t>90 &amp; ABOVE</t>
  </si>
  <si>
    <t>75-90</t>
  </si>
  <si>
    <t>50-75</t>
  </si>
  <si>
    <t>50 &amp; BELOW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</si>
</sst>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9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0"/>
    </xf>
    <xf borderId="1" fillId="0" fontId="2" numFmtId="0" xfId="0" applyAlignment="1" applyBorder="1" applyFont="1">
      <alignment horizontal="center"/>
    </xf>
    <xf borderId="2" fillId="0" fontId="3" numFmtId="0" xfId="0" applyBorder="1" applyFont="1"/>
    <xf borderId="3" fillId="0" fontId="3" numFmtId="0" xfId="0" applyBorder="1" applyFont="1"/>
    <xf borderId="2" fillId="0" fontId="2" numFmtId="0" xfId="0" applyAlignment="1" applyBorder="1" applyFont="1">
      <alignment horizontal="center"/>
    </xf>
    <xf borderId="0" fillId="0" fontId="2" numFmtId="0" xfId="0" applyAlignment="1" applyFont="1">
      <alignment horizontal="center"/>
    </xf>
    <xf borderId="4" fillId="0" fontId="2" numFmtId="0" xfId="0" applyAlignment="1" applyBorder="1" applyFont="1">
      <alignment horizontal="center" shrinkToFit="0" wrapText="0"/>
    </xf>
    <xf borderId="0" fillId="0" fontId="2" numFmtId="0" xfId="0" applyAlignment="1" applyFont="1">
      <alignment horizontal="center" shrinkToFit="0" wrapText="0"/>
    </xf>
    <xf borderId="5" fillId="0" fontId="2" numFmtId="0" xfId="0" applyAlignment="1" applyBorder="1" applyFont="1">
      <alignment horizontal="center" shrinkToFit="0" wrapText="0"/>
    </xf>
    <xf borderId="0" fillId="0" fontId="2" numFmtId="0" xfId="0" applyFont="1"/>
    <xf borderId="4" fillId="0" fontId="2" numFmtId="0" xfId="0" applyBorder="1" applyFont="1"/>
    <xf borderId="5" fillId="0" fontId="2" numFmtId="0" xfId="0" applyAlignment="1" applyBorder="1" applyFont="1">
      <alignment horizontal="right"/>
    </xf>
    <xf borderId="0" fillId="0" fontId="2" numFmtId="0" xfId="0" applyFont="1"/>
    <xf borderId="4" fillId="0" fontId="2" numFmtId="0" xfId="0" applyAlignment="1" applyBorder="1" applyFont="1">
      <alignment horizontal="right"/>
    </xf>
    <xf borderId="5" fillId="0" fontId="2" numFmtId="0" xfId="0" applyBorder="1" applyFont="1"/>
    <xf borderId="0" fillId="0" fontId="2" numFmtId="0" xfId="0" applyAlignment="1" applyFont="1">
      <alignment readingOrder="0"/>
    </xf>
    <xf borderId="6" fillId="0" fontId="2" numFmtId="0" xfId="0" applyBorder="1" applyFont="1"/>
    <xf borderId="7" fillId="0" fontId="2" numFmtId="0" xfId="0" applyBorder="1" applyFont="1"/>
    <xf borderId="8" fillId="0" fontId="2" numFmtId="0" xfId="0" applyAlignment="1" applyBorder="1" applyFont="1">
      <alignment horizontal="right"/>
    </xf>
    <xf borderId="7" fillId="0" fontId="2" numFmtId="0" xfId="0" applyBorder="1" applyFont="1"/>
    <xf borderId="8" fillId="0" fontId="2" numFmtId="0" xfId="0" applyAlignment="1" applyBorder="1" applyFont="1">
      <alignment horizontal="right"/>
    </xf>
    <xf borderId="6" fillId="0" fontId="2" numFmtId="0" xfId="0" applyAlignment="1" applyBorder="1" applyFont="1">
      <alignment horizontal="right"/>
    </xf>
    <xf borderId="6" fillId="0" fontId="2" numFmtId="0" xfId="0" applyBorder="1" applyFont="1"/>
    <xf borderId="8" fillId="0" fontId="2" numFmtId="0" xfId="0" applyBorder="1" applyFont="1"/>
    <xf borderId="0" fillId="0" fontId="2" numFmtId="0" xfId="0" applyAlignment="1" applyFont="1">
      <alignment horizontal="right"/>
    </xf>
    <xf borderId="0" fillId="0" fontId="2" numFmtId="0" xfId="0" applyAlignment="1" applyFont="1">
      <alignment horizontal="righ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1.0"/>
    <col customWidth="1" min="2" max="2" width="28.13"/>
    <col customWidth="1" min="3" max="3" width="24.75"/>
    <col customWidth="1" min="4" max="4" width="32.38"/>
    <col customWidth="1" min="5" max="34" width="8.13"/>
    <col customWidth="1" min="35" max="35" width="5.38"/>
    <col customWidth="1" min="36" max="36" width="6.25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/>
      <c r="G1" s="5"/>
      <c r="H1" s="6" t="s">
        <v>5</v>
      </c>
      <c r="I1" s="4"/>
      <c r="J1" s="5"/>
      <c r="K1" s="3" t="s">
        <v>6</v>
      </c>
      <c r="L1" s="4"/>
      <c r="M1" s="5"/>
      <c r="N1" s="3" t="s">
        <v>7</v>
      </c>
      <c r="O1" s="4"/>
      <c r="P1" s="5"/>
      <c r="Q1" s="3" t="s">
        <v>8</v>
      </c>
      <c r="R1" s="4"/>
      <c r="S1" s="5"/>
      <c r="T1" s="3" t="s">
        <v>9</v>
      </c>
      <c r="U1" s="4"/>
      <c r="V1" s="5"/>
      <c r="W1" s="3" t="s">
        <v>10</v>
      </c>
      <c r="X1" s="4"/>
      <c r="Y1" s="5"/>
      <c r="Z1" s="3" t="s">
        <v>11</v>
      </c>
      <c r="AA1" s="4"/>
      <c r="AB1" s="5"/>
      <c r="AC1" s="3" t="s">
        <v>12</v>
      </c>
      <c r="AD1" s="4"/>
      <c r="AE1" s="5"/>
      <c r="AF1" s="3" t="s">
        <v>13</v>
      </c>
      <c r="AG1" s="4"/>
      <c r="AH1" s="5"/>
      <c r="AI1" s="7"/>
      <c r="AJ1" s="7"/>
    </row>
    <row r="2">
      <c r="E2" s="8" t="s">
        <v>14</v>
      </c>
      <c r="F2" s="9" t="s">
        <v>15</v>
      </c>
      <c r="G2" s="10" t="s">
        <v>11</v>
      </c>
      <c r="H2" s="9" t="s">
        <v>16</v>
      </c>
      <c r="I2" s="9" t="s">
        <v>15</v>
      </c>
      <c r="J2" s="10" t="s">
        <v>17</v>
      </c>
      <c r="K2" s="8" t="s">
        <v>14</v>
      </c>
      <c r="L2" s="9" t="s">
        <v>15</v>
      </c>
      <c r="M2" s="10" t="s">
        <v>11</v>
      </c>
      <c r="N2" s="8" t="s">
        <v>14</v>
      </c>
      <c r="O2" s="9" t="s">
        <v>18</v>
      </c>
      <c r="P2" s="10" t="s">
        <v>11</v>
      </c>
      <c r="Q2" s="8" t="s">
        <v>14</v>
      </c>
      <c r="R2" s="9" t="s">
        <v>19</v>
      </c>
      <c r="S2" s="10" t="s">
        <v>17</v>
      </c>
      <c r="T2" s="8" t="s">
        <v>14</v>
      </c>
      <c r="U2" s="9" t="s">
        <v>19</v>
      </c>
      <c r="V2" s="10" t="s">
        <v>11</v>
      </c>
      <c r="W2" s="8" t="s">
        <v>16</v>
      </c>
      <c r="X2" s="9" t="s">
        <v>19</v>
      </c>
      <c r="Y2" s="10" t="s">
        <v>11</v>
      </c>
      <c r="Z2" s="8" t="s">
        <v>20</v>
      </c>
      <c r="AA2" s="9" t="s">
        <v>21</v>
      </c>
      <c r="AB2" s="10" t="s">
        <v>22</v>
      </c>
      <c r="AC2" s="8" t="s">
        <v>20</v>
      </c>
      <c r="AD2" s="9" t="s">
        <v>21</v>
      </c>
      <c r="AE2" s="9" t="s">
        <v>23</v>
      </c>
      <c r="AF2" s="8" t="s">
        <v>20</v>
      </c>
      <c r="AG2" s="9" t="s">
        <v>21</v>
      </c>
      <c r="AH2" s="10" t="s">
        <v>23</v>
      </c>
    </row>
    <row r="3">
      <c r="A3" s="11" t="s">
        <v>24</v>
      </c>
      <c r="B3" s="11" t="s">
        <v>25</v>
      </c>
      <c r="C3" s="11" t="s">
        <v>26</v>
      </c>
      <c r="D3" s="11" t="s">
        <v>27</v>
      </c>
      <c r="E3" s="12">
        <v>73.0</v>
      </c>
      <c r="F3" s="11">
        <v>20.0</v>
      </c>
      <c r="G3" s="13">
        <f t="shared" ref="G3:G42" si="1">sum( E3:F3)</f>
        <v>93</v>
      </c>
      <c r="H3" s="14">
        <v>0.0</v>
      </c>
      <c r="I3" s="11">
        <v>0.0</v>
      </c>
      <c r="J3" s="13">
        <f t="shared" ref="J3:J42" si="2">sum(H3:I3)</f>
        <v>0</v>
      </c>
      <c r="K3" s="15">
        <v>52.0</v>
      </c>
      <c r="L3" s="14">
        <v>20.0</v>
      </c>
      <c r="M3" s="13">
        <f t="shared" ref="M3:M42" si="3">sum(K3:L3)</f>
        <v>72</v>
      </c>
      <c r="N3" s="12">
        <v>56.0</v>
      </c>
      <c r="O3" s="14">
        <v>30.0</v>
      </c>
      <c r="P3" s="13">
        <f t="shared" ref="P3:P42" si="4">sum(N3:O3)</f>
        <v>86</v>
      </c>
      <c r="Q3" s="12">
        <v>57.0</v>
      </c>
      <c r="R3" s="14">
        <v>30.0</v>
      </c>
      <c r="S3" s="13">
        <f t="shared" ref="S3:S42" si="5">sum(Q3:R3)</f>
        <v>87</v>
      </c>
      <c r="T3" s="12">
        <v>64.0</v>
      </c>
      <c r="U3" s="11">
        <v>30.0</v>
      </c>
      <c r="V3" s="13">
        <f t="shared" ref="V3:V42" si="6">sum(U3, T3) </f>
        <v>94</v>
      </c>
      <c r="W3" s="12">
        <v>45.0</v>
      </c>
      <c r="X3" s="14">
        <v>50.0</v>
      </c>
      <c r="Y3" s="13">
        <f t="shared" ref="Y3:Y42" si="7">sum(X3, W3) </f>
        <v>95</v>
      </c>
      <c r="Z3" s="12">
        <f t="shared" ref="Z3:Z42" si="8">(G3+J3+M3+P3+S3+V3)</f>
        <v>432</v>
      </c>
      <c r="AA3" s="11">
        <f>IFERROR(__xludf.DUMMYFUNCTION("Sum(SORTN({G3; J3; M3; P3; S3; V3; Y3 },5,0,1,FALSE))"),455.0)</f>
        <v>455</v>
      </c>
      <c r="AB3" s="16">
        <f t="shared" ref="AB3:AB42" si="9">(G3+J3+M3+P3+S3+V3+Y3)</f>
        <v>527</v>
      </c>
      <c r="AC3" s="12">
        <f t="shared" ref="AC3:AC42" si="10">(Z3/5)</f>
        <v>86.4</v>
      </c>
      <c r="AD3" s="11">
        <f t="shared" ref="AD3:AD42" si="11">AA3/5</f>
        <v>91</v>
      </c>
      <c r="AE3" s="14">
        <f t="shared" ref="AE3:AE42" si="12">ROUND(AB3/6,1)</f>
        <v>87.8</v>
      </c>
      <c r="AF3" s="12">
        <f t="shared" ref="AF3:AF42" si="13">RANK(Z3,$Z$3:$Z$42)</f>
        <v>2</v>
      </c>
      <c r="AG3" s="11">
        <f t="shared" ref="AG3:AG42" si="14">RANK(AA3,$AA$3:$AA$42)</f>
        <v>1</v>
      </c>
      <c r="AH3" s="16">
        <f t="shared" ref="AH3:AH42" si="15">RANK(AB3,$AB$3:$AB$42)</f>
        <v>2</v>
      </c>
    </row>
    <row r="4">
      <c r="A4" s="11" t="s">
        <v>28</v>
      </c>
      <c r="B4" s="11" t="s">
        <v>29</v>
      </c>
      <c r="C4" s="11" t="s">
        <v>30</v>
      </c>
      <c r="D4" s="11" t="s">
        <v>31</v>
      </c>
      <c r="E4" s="12">
        <v>74.0</v>
      </c>
      <c r="F4" s="11">
        <v>20.0</v>
      </c>
      <c r="G4" s="13">
        <f t="shared" si="1"/>
        <v>94</v>
      </c>
      <c r="H4" s="14">
        <v>0.0</v>
      </c>
      <c r="I4" s="11">
        <v>0.0</v>
      </c>
      <c r="J4" s="13">
        <f t="shared" si="2"/>
        <v>0</v>
      </c>
      <c r="K4" s="15">
        <v>26.0</v>
      </c>
      <c r="L4" s="14">
        <v>20.0</v>
      </c>
      <c r="M4" s="13">
        <f t="shared" si="3"/>
        <v>46</v>
      </c>
      <c r="N4" s="12">
        <v>25.0</v>
      </c>
      <c r="O4" s="14">
        <v>30.0</v>
      </c>
      <c r="P4" s="13">
        <f t="shared" si="4"/>
        <v>55</v>
      </c>
      <c r="Q4" s="12">
        <v>23.0</v>
      </c>
      <c r="R4" s="14">
        <v>29.0</v>
      </c>
      <c r="S4" s="13">
        <f t="shared" si="5"/>
        <v>52</v>
      </c>
      <c r="T4" s="12">
        <v>58.0</v>
      </c>
      <c r="U4" s="11">
        <v>30.0</v>
      </c>
      <c r="V4" s="13">
        <f t="shared" si="6"/>
        <v>88</v>
      </c>
      <c r="W4" s="12">
        <v>43.0</v>
      </c>
      <c r="X4" s="14">
        <v>50.0</v>
      </c>
      <c r="Y4" s="13">
        <f t="shared" si="7"/>
        <v>93</v>
      </c>
      <c r="Z4" s="12">
        <f t="shared" si="8"/>
        <v>335</v>
      </c>
      <c r="AA4" s="11">
        <f>IFERROR(__xludf.DUMMYFUNCTION("Sum(SORTN({G4; J4; M4; P4; S4; V4; Y4 },5,0,1,FALSE))"),382.0)</f>
        <v>382</v>
      </c>
      <c r="AB4" s="16">
        <f t="shared" si="9"/>
        <v>428</v>
      </c>
      <c r="AC4" s="12">
        <f t="shared" si="10"/>
        <v>67</v>
      </c>
      <c r="AD4" s="11">
        <f t="shared" si="11"/>
        <v>76.4</v>
      </c>
      <c r="AE4" s="14">
        <f t="shared" si="12"/>
        <v>71.3</v>
      </c>
      <c r="AF4" s="12">
        <f t="shared" si="13"/>
        <v>23</v>
      </c>
      <c r="AG4" s="11">
        <f t="shared" si="14"/>
        <v>18</v>
      </c>
      <c r="AH4" s="16">
        <f t="shared" si="15"/>
        <v>20</v>
      </c>
    </row>
    <row r="5">
      <c r="A5" s="11" t="s">
        <v>32</v>
      </c>
      <c r="B5" s="11" t="s">
        <v>33</v>
      </c>
      <c r="C5" s="11" t="s">
        <v>34</v>
      </c>
      <c r="D5" s="11" t="s">
        <v>35</v>
      </c>
      <c r="E5" s="12">
        <v>54.0</v>
      </c>
      <c r="F5" s="11">
        <v>20.0</v>
      </c>
      <c r="G5" s="13">
        <f t="shared" si="1"/>
        <v>74</v>
      </c>
      <c r="H5" s="14">
        <v>0.0</v>
      </c>
      <c r="I5" s="11">
        <v>0.0</v>
      </c>
      <c r="J5" s="13">
        <f t="shared" si="2"/>
        <v>0</v>
      </c>
      <c r="K5" s="15">
        <v>47.0</v>
      </c>
      <c r="L5" s="14">
        <v>20.0</v>
      </c>
      <c r="M5" s="13">
        <f t="shared" si="3"/>
        <v>67</v>
      </c>
      <c r="N5" s="12">
        <v>31.0</v>
      </c>
      <c r="O5" s="14">
        <v>30.0</v>
      </c>
      <c r="P5" s="13">
        <f t="shared" si="4"/>
        <v>61</v>
      </c>
      <c r="Q5" s="12">
        <v>45.0</v>
      </c>
      <c r="R5" s="14">
        <v>30.0</v>
      </c>
      <c r="S5" s="13">
        <f t="shared" si="5"/>
        <v>75</v>
      </c>
      <c r="T5" s="12">
        <v>59.0</v>
      </c>
      <c r="U5" s="11">
        <v>30.0</v>
      </c>
      <c r="V5" s="13">
        <f t="shared" si="6"/>
        <v>89</v>
      </c>
      <c r="W5" s="12">
        <v>42.0</v>
      </c>
      <c r="X5" s="14">
        <v>50.0</v>
      </c>
      <c r="Y5" s="13">
        <f t="shared" si="7"/>
        <v>92</v>
      </c>
      <c r="Z5" s="12">
        <f t="shared" si="8"/>
        <v>366</v>
      </c>
      <c r="AA5" s="11">
        <f>IFERROR(__xludf.DUMMYFUNCTION("Sum(SORTN({G5; J5; M5; P5; S5; V5; Y5 },5,0,1,FALSE))"),397.0)</f>
        <v>397</v>
      </c>
      <c r="AB5" s="16">
        <f t="shared" si="9"/>
        <v>458</v>
      </c>
      <c r="AC5" s="12">
        <f t="shared" si="10"/>
        <v>73.2</v>
      </c>
      <c r="AD5" s="11">
        <f t="shared" si="11"/>
        <v>79.4</v>
      </c>
      <c r="AE5" s="14">
        <f t="shared" si="12"/>
        <v>76.3</v>
      </c>
      <c r="AF5" s="12">
        <f t="shared" si="13"/>
        <v>13</v>
      </c>
      <c r="AG5" s="11">
        <f t="shared" si="14"/>
        <v>14</v>
      </c>
      <c r="AH5" s="16">
        <f t="shared" si="15"/>
        <v>12</v>
      </c>
    </row>
    <row r="6">
      <c r="A6" s="11" t="s">
        <v>36</v>
      </c>
      <c r="B6" s="11" t="s">
        <v>37</v>
      </c>
      <c r="C6" s="11" t="s">
        <v>38</v>
      </c>
      <c r="D6" s="11" t="s">
        <v>39</v>
      </c>
      <c r="E6" s="12">
        <v>68.0</v>
      </c>
      <c r="F6" s="11">
        <v>20.0</v>
      </c>
      <c r="G6" s="13">
        <f t="shared" si="1"/>
        <v>88</v>
      </c>
      <c r="H6" s="14">
        <v>60.0</v>
      </c>
      <c r="I6" s="11">
        <v>20.0</v>
      </c>
      <c r="J6" s="13">
        <f t="shared" si="2"/>
        <v>80</v>
      </c>
      <c r="K6" s="15">
        <v>26.0</v>
      </c>
      <c r="L6" s="14">
        <v>20.0</v>
      </c>
      <c r="M6" s="13">
        <f t="shared" si="3"/>
        <v>46</v>
      </c>
      <c r="N6" s="12">
        <v>23.0</v>
      </c>
      <c r="O6" s="14">
        <v>30.0</v>
      </c>
      <c r="P6" s="13">
        <f t="shared" si="4"/>
        <v>53</v>
      </c>
      <c r="Q6" s="12">
        <v>35.0</v>
      </c>
      <c r="R6" s="14">
        <v>30.0</v>
      </c>
      <c r="S6" s="13">
        <f t="shared" si="5"/>
        <v>65</v>
      </c>
      <c r="T6" s="12">
        <v>0.0</v>
      </c>
      <c r="U6" s="11">
        <v>0.0</v>
      </c>
      <c r="V6" s="13">
        <f t="shared" si="6"/>
        <v>0</v>
      </c>
      <c r="W6" s="12">
        <v>46.0</v>
      </c>
      <c r="X6" s="14">
        <v>47.0</v>
      </c>
      <c r="Y6" s="13">
        <f t="shared" si="7"/>
        <v>93</v>
      </c>
      <c r="Z6" s="12">
        <f t="shared" si="8"/>
        <v>332</v>
      </c>
      <c r="AA6" s="11">
        <f>IFERROR(__xludf.DUMMYFUNCTION("Sum(SORTN({G6; J6; M6; P6; S6; V6; Y6 },5,0,1,FALSE))"),379.0)</f>
        <v>379</v>
      </c>
      <c r="AB6" s="16">
        <f t="shared" si="9"/>
        <v>425</v>
      </c>
      <c r="AC6" s="12">
        <f t="shared" si="10"/>
        <v>66.4</v>
      </c>
      <c r="AD6" s="11">
        <f t="shared" si="11"/>
        <v>75.8</v>
      </c>
      <c r="AE6" s="14">
        <f t="shared" si="12"/>
        <v>70.8</v>
      </c>
      <c r="AF6" s="12">
        <f t="shared" si="13"/>
        <v>25</v>
      </c>
      <c r="AG6" s="11">
        <f t="shared" si="14"/>
        <v>19</v>
      </c>
      <c r="AH6" s="16">
        <f t="shared" si="15"/>
        <v>21</v>
      </c>
    </row>
    <row r="7">
      <c r="A7" s="11" t="s">
        <v>40</v>
      </c>
      <c r="B7" s="11" t="s">
        <v>41</v>
      </c>
      <c r="C7" s="11" t="s">
        <v>30</v>
      </c>
      <c r="D7" s="11" t="s">
        <v>42</v>
      </c>
      <c r="E7" s="12">
        <v>73.0</v>
      </c>
      <c r="F7" s="11">
        <v>20.0</v>
      </c>
      <c r="G7" s="13">
        <f t="shared" si="1"/>
        <v>93</v>
      </c>
      <c r="H7" s="14">
        <v>0.0</v>
      </c>
      <c r="I7" s="11">
        <v>0.0</v>
      </c>
      <c r="J7" s="13">
        <f t="shared" si="2"/>
        <v>0</v>
      </c>
      <c r="K7" s="15">
        <v>26.0</v>
      </c>
      <c r="L7" s="14">
        <v>20.0</v>
      </c>
      <c r="M7" s="13">
        <f t="shared" si="3"/>
        <v>46</v>
      </c>
      <c r="N7" s="12">
        <v>25.0</v>
      </c>
      <c r="O7" s="14">
        <v>30.0</v>
      </c>
      <c r="P7" s="13">
        <f t="shared" si="4"/>
        <v>55</v>
      </c>
      <c r="Q7" s="12">
        <v>23.0</v>
      </c>
      <c r="R7" s="14">
        <v>30.0</v>
      </c>
      <c r="S7" s="13">
        <f t="shared" si="5"/>
        <v>53</v>
      </c>
      <c r="T7" s="12">
        <v>56.0</v>
      </c>
      <c r="U7" s="11">
        <v>29.0</v>
      </c>
      <c r="V7" s="13">
        <f t="shared" si="6"/>
        <v>85</v>
      </c>
      <c r="W7" s="12">
        <v>40.0</v>
      </c>
      <c r="X7" s="14">
        <v>50.0</v>
      </c>
      <c r="Y7" s="13">
        <f t="shared" si="7"/>
        <v>90</v>
      </c>
      <c r="Z7" s="12">
        <f t="shared" si="8"/>
        <v>332</v>
      </c>
      <c r="AA7" s="11">
        <f>IFERROR(__xludf.DUMMYFUNCTION("Sum(SORTN({G7; J7; M7; P7; S7; V7; Y7 },5,0,1,FALSE))"),376.0)</f>
        <v>376</v>
      </c>
      <c r="AB7" s="16">
        <f t="shared" si="9"/>
        <v>422</v>
      </c>
      <c r="AC7" s="12">
        <f t="shared" si="10"/>
        <v>66.4</v>
      </c>
      <c r="AD7" s="11">
        <f t="shared" si="11"/>
        <v>75.2</v>
      </c>
      <c r="AE7" s="14">
        <f t="shared" si="12"/>
        <v>70.3</v>
      </c>
      <c r="AF7" s="12">
        <f t="shared" si="13"/>
        <v>25</v>
      </c>
      <c r="AG7" s="11">
        <f t="shared" si="14"/>
        <v>21</v>
      </c>
      <c r="AH7" s="16">
        <f t="shared" si="15"/>
        <v>26</v>
      </c>
    </row>
    <row r="8">
      <c r="A8" s="11" t="s">
        <v>43</v>
      </c>
      <c r="B8" s="11" t="s">
        <v>41</v>
      </c>
      <c r="C8" s="11" t="s">
        <v>44</v>
      </c>
      <c r="D8" s="11" t="s">
        <v>45</v>
      </c>
      <c r="E8" s="12">
        <v>67.0</v>
      </c>
      <c r="F8" s="11">
        <v>20.0</v>
      </c>
      <c r="G8" s="13">
        <f t="shared" si="1"/>
        <v>87</v>
      </c>
      <c r="H8" s="14">
        <v>71.0</v>
      </c>
      <c r="I8" s="11">
        <v>20.0</v>
      </c>
      <c r="J8" s="13">
        <f t="shared" si="2"/>
        <v>91</v>
      </c>
      <c r="K8" s="15">
        <v>44.0</v>
      </c>
      <c r="L8" s="14">
        <v>20.0</v>
      </c>
      <c r="M8" s="13">
        <f t="shared" si="3"/>
        <v>64</v>
      </c>
      <c r="N8" s="12">
        <v>42.0</v>
      </c>
      <c r="O8" s="14">
        <v>30.0</v>
      </c>
      <c r="P8" s="13">
        <f t="shared" si="4"/>
        <v>72</v>
      </c>
      <c r="Q8" s="12">
        <v>37.0</v>
      </c>
      <c r="R8" s="14">
        <v>30.0</v>
      </c>
      <c r="S8" s="13">
        <f t="shared" si="5"/>
        <v>67</v>
      </c>
      <c r="T8" s="12">
        <v>0.0</v>
      </c>
      <c r="U8" s="11">
        <v>0.0</v>
      </c>
      <c r="V8" s="13">
        <f t="shared" si="6"/>
        <v>0</v>
      </c>
      <c r="W8" s="12">
        <v>47.0</v>
      </c>
      <c r="X8" s="14">
        <v>47.0</v>
      </c>
      <c r="Y8" s="13">
        <f t="shared" si="7"/>
        <v>94</v>
      </c>
      <c r="Z8" s="12">
        <f t="shared" si="8"/>
        <v>381</v>
      </c>
      <c r="AA8" s="11">
        <f>IFERROR(__xludf.DUMMYFUNCTION("Sum(SORTN({G8; J8; M8; P8; S8; V8; Y8 },5,0,1,FALSE))"),411.0)</f>
        <v>411</v>
      </c>
      <c r="AB8" s="16">
        <f t="shared" si="9"/>
        <v>475</v>
      </c>
      <c r="AC8" s="12">
        <f t="shared" si="10"/>
        <v>76.2</v>
      </c>
      <c r="AD8" s="11">
        <f t="shared" si="11"/>
        <v>82.2</v>
      </c>
      <c r="AE8" s="14">
        <f t="shared" si="12"/>
        <v>79.2</v>
      </c>
      <c r="AF8" s="12">
        <f t="shared" si="13"/>
        <v>10</v>
      </c>
      <c r="AG8" s="11">
        <f t="shared" si="14"/>
        <v>10</v>
      </c>
      <c r="AH8" s="16">
        <f t="shared" si="15"/>
        <v>10</v>
      </c>
    </row>
    <row r="9">
      <c r="A9" s="11" t="s">
        <v>46</v>
      </c>
      <c r="B9" s="11" t="s">
        <v>47</v>
      </c>
      <c r="C9" s="11" t="s">
        <v>48</v>
      </c>
      <c r="D9" s="11" t="s">
        <v>49</v>
      </c>
      <c r="E9" s="12">
        <v>67.0</v>
      </c>
      <c r="F9" s="11">
        <v>20.0</v>
      </c>
      <c r="G9" s="13">
        <f t="shared" si="1"/>
        <v>87</v>
      </c>
      <c r="H9" s="14">
        <v>0.0</v>
      </c>
      <c r="I9" s="11">
        <v>0.0</v>
      </c>
      <c r="J9" s="13">
        <f t="shared" si="2"/>
        <v>0</v>
      </c>
      <c r="K9" s="15">
        <v>26.0</v>
      </c>
      <c r="L9" s="14">
        <v>20.0</v>
      </c>
      <c r="M9" s="13">
        <f t="shared" si="3"/>
        <v>46</v>
      </c>
      <c r="N9" s="12">
        <v>24.0</v>
      </c>
      <c r="O9" s="14">
        <v>30.0</v>
      </c>
      <c r="P9" s="13">
        <f t="shared" si="4"/>
        <v>54</v>
      </c>
      <c r="Q9" s="12">
        <v>24.0</v>
      </c>
      <c r="R9" s="14">
        <v>30.0</v>
      </c>
      <c r="S9" s="13">
        <f t="shared" si="5"/>
        <v>54</v>
      </c>
      <c r="T9" s="12">
        <v>52.0</v>
      </c>
      <c r="U9" s="11">
        <v>30.0</v>
      </c>
      <c r="V9" s="13">
        <f t="shared" si="6"/>
        <v>82</v>
      </c>
      <c r="W9" s="12">
        <v>38.0</v>
      </c>
      <c r="X9" s="14">
        <v>47.0</v>
      </c>
      <c r="Y9" s="13">
        <f t="shared" si="7"/>
        <v>85</v>
      </c>
      <c r="Z9" s="12">
        <f t="shared" si="8"/>
        <v>323</v>
      </c>
      <c r="AA9" s="11">
        <f>IFERROR(__xludf.DUMMYFUNCTION("Sum(SORTN({G9; J9; M9; P9; S9; V9; Y9 },5,0,1,FALSE))"),362.0)</f>
        <v>362</v>
      </c>
      <c r="AB9" s="16">
        <f t="shared" si="9"/>
        <v>408</v>
      </c>
      <c r="AC9" s="12">
        <f t="shared" si="10"/>
        <v>64.6</v>
      </c>
      <c r="AD9" s="11">
        <f t="shared" si="11"/>
        <v>72.4</v>
      </c>
      <c r="AE9" s="14">
        <f t="shared" si="12"/>
        <v>68</v>
      </c>
      <c r="AF9" s="12">
        <f t="shared" si="13"/>
        <v>33</v>
      </c>
      <c r="AG9" s="11">
        <f t="shared" si="14"/>
        <v>29</v>
      </c>
      <c r="AH9" s="16">
        <f t="shared" si="15"/>
        <v>32</v>
      </c>
    </row>
    <row r="10">
      <c r="A10" s="11" t="s">
        <v>50</v>
      </c>
      <c r="B10" s="11" t="s">
        <v>51</v>
      </c>
      <c r="C10" s="11" t="s">
        <v>52</v>
      </c>
      <c r="D10" s="11" t="s">
        <v>53</v>
      </c>
      <c r="E10" s="12">
        <v>57.0</v>
      </c>
      <c r="F10" s="11">
        <v>20.0</v>
      </c>
      <c r="G10" s="13">
        <f t="shared" si="1"/>
        <v>77</v>
      </c>
      <c r="H10" s="14">
        <v>0.0</v>
      </c>
      <c r="I10" s="11">
        <v>0.0</v>
      </c>
      <c r="J10" s="13">
        <f t="shared" si="2"/>
        <v>0</v>
      </c>
      <c r="K10" s="15">
        <v>26.0</v>
      </c>
      <c r="L10" s="14">
        <v>20.0</v>
      </c>
      <c r="M10" s="13">
        <f t="shared" si="3"/>
        <v>46</v>
      </c>
      <c r="N10" s="12">
        <v>23.0</v>
      </c>
      <c r="O10" s="14">
        <v>30.0</v>
      </c>
      <c r="P10" s="13">
        <f t="shared" si="4"/>
        <v>53</v>
      </c>
      <c r="Q10" s="12">
        <v>24.0</v>
      </c>
      <c r="R10" s="14">
        <v>30.0</v>
      </c>
      <c r="S10" s="13">
        <f t="shared" si="5"/>
        <v>54</v>
      </c>
      <c r="T10" s="12">
        <v>67.0</v>
      </c>
      <c r="U10" s="11">
        <v>30.0</v>
      </c>
      <c r="V10" s="13">
        <f t="shared" si="6"/>
        <v>97</v>
      </c>
      <c r="W10" s="12">
        <v>42.0</v>
      </c>
      <c r="X10" s="14">
        <v>50.0</v>
      </c>
      <c r="Y10" s="13">
        <f t="shared" si="7"/>
        <v>92</v>
      </c>
      <c r="Z10" s="12">
        <f t="shared" si="8"/>
        <v>327</v>
      </c>
      <c r="AA10" s="11">
        <f>IFERROR(__xludf.DUMMYFUNCTION("Sum(SORTN({G10; J10; M10; P10; S10; V10; Y10 },5,0,1,FALSE))"),373.0)</f>
        <v>373</v>
      </c>
      <c r="AB10" s="16">
        <f t="shared" si="9"/>
        <v>419</v>
      </c>
      <c r="AC10" s="12">
        <f t="shared" si="10"/>
        <v>65.4</v>
      </c>
      <c r="AD10" s="11">
        <f t="shared" si="11"/>
        <v>74.6</v>
      </c>
      <c r="AE10" s="14">
        <f t="shared" si="12"/>
        <v>69.8</v>
      </c>
      <c r="AF10" s="12">
        <f t="shared" si="13"/>
        <v>29</v>
      </c>
      <c r="AG10" s="11">
        <f t="shared" si="14"/>
        <v>22</v>
      </c>
      <c r="AH10" s="16">
        <f t="shared" si="15"/>
        <v>27</v>
      </c>
    </row>
    <row r="11">
      <c r="A11" s="11" t="s">
        <v>54</v>
      </c>
      <c r="B11" s="11" t="s">
        <v>55</v>
      </c>
      <c r="C11" s="11" t="s">
        <v>56</v>
      </c>
      <c r="D11" s="11" t="s">
        <v>57</v>
      </c>
      <c r="E11" s="12">
        <v>65.0</v>
      </c>
      <c r="F11" s="11">
        <v>20.0</v>
      </c>
      <c r="G11" s="13">
        <f t="shared" si="1"/>
        <v>85</v>
      </c>
      <c r="H11" s="14">
        <v>77.0</v>
      </c>
      <c r="I11" s="11">
        <v>20.0</v>
      </c>
      <c r="J11" s="13">
        <f t="shared" si="2"/>
        <v>97</v>
      </c>
      <c r="K11" s="15">
        <v>41.0</v>
      </c>
      <c r="L11" s="14">
        <v>20.0</v>
      </c>
      <c r="M11" s="13">
        <f t="shared" si="3"/>
        <v>61</v>
      </c>
      <c r="N11" s="12">
        <v>38.0</v>
      </c>
      <c r="O11" s="14">
        <v>30.0</v>
      </c>
      <c r="P11" s="13">
        <f t="shared" si="4"/>
        <v>68</v>
      </c>
      <c r="Q11" s="12">
        <v>38.0</v>
      </c>
      <c r="R11" s="14">
        <v>30.0</v>
      </c>
      <c r="S11" s="13">
        <f t="shared" si="5"/>
        <v>68</v>
      </c>
      <c r="T11" s="12">
        <v>0.0</v>
      </c>
      <c r="U11" s="11">
        <v>0.0</v>
      </c>
      <c r="V11" s="13">
        <f t="shared" si="6"/>
        <v>0</v>
      </c>
      <c r="W11" s="12">
        <v>43.0</v>
      </c>
      <c r="X11" s="14">
        <v>50.0</v>
      </c>
      <c r="Y11" s="13">
        <f t="shared" si="7"/>
        <v>93</v>
      </c>
      <c r="Z11" s="12">
        <f t="shared" si="8"/>
        <v>379</v>
      </c>
      <c r="AA11" s="11">
        <f>IFERROR(__xludf.DUMMYFUNCTION("Sum(SORTN({G11; J11; M11; P11; S11; V11; Y11 },5,0,1,FALSE))"),411.0)</f>
        <v>411</v>
      </c>
      <c r="AB11" s="16">
        <f t="shared" si="9"/>
        <v>472</v>
      </c>
      <c r="AC11" s="12">
        <f t="shared" si="10"/>
        <v>75.8</v>
      </c>
      <c r="AD11" s="11">
        <f t="shared" si="11"/>
        <v>82.2</v>
      </c>
      <c r="AE11" s="14">
        <f t="shared" si="12"/>
        <v>78.7</v>
      </c>
      <c r="AF11" s="12">
        <f t="shared" si="13"/>
        <v>11</v>
      </c>
      <c r="AG11" s="11">
        <f t="shared" si="14"/>
        <v>10</v>
      </c>
      <c r="AH11" s="16">
        <f t="shared" si="15"/>
        <v>11</v>
      </c>
    </row>
    <row r="12">
      <c r="A12" s="11" t="s">
        <v>58</v>
      </c>
      <c r="B12" s="11" t="s">
        <v>59</v>
      </c>
      <c r="C12" s="11" t="s">
        <v>60</v>
      </c>
      <c r="D12" s="11" t="s">
        <v>61</v>
      </c>
      <c r="E12" s="12">
        <v>51.0</v>
      </c>
      <c r="F12" s="11">
        <v>20.0</v>
      </c>
      <c r="G12" s="13">
        <f t="shared" si="1"/>
        <v>71</v>
      </c>
      <c r="H12" s="14">
        <v>75.0</v>
      </c>
      <c r="I12" s="11">
        <v>19.0</v>
      </c>
      <c r="J12" s="13">
        <f t="shared" si="2"/>
        <v>94</v>
      </c>
      <c r="K12" s="15">
        <v>26.0</v>
      </c>
      <c r="L12" s="14">
        <v>20.0</v>
      </c>
      <c r="M12" s="13">
        <f t="shared" si="3"/>
        <v>46</v>
      </c>
      <c r="N12" s="12">
        <v>26.0</v>
      </c>
      <c r="O12" s="14">
        <v>30.0</v>
      </c>
      <c r="P12" s="13">
        <f t="shared" si="4"/>
        <v>56</v>
      </c>
      <c r="Q12" s="12">
        <v>23.0</v>
      </c>
      <c r="R12" s="14">
        <v>30.0</v>
      </c>
      <c r="S12" s="13">
        <f t="shared" si="5"/>
        <v>53</v>
      </c>
      <c r="T12" s="12">
        <v>0.0</v>
      </c>
      <c r="U12" s="11">
        <v>0.0</v>
      </c>
      <c r="V12" s="13">
        <f t="shared" si="6"/>
        <v>0</v>
      </c>
      <c r="W12" s="12">
        <v>35.0</v>
      </c>
      <c r="X12" s="14">
        <v>50.0</v>
      </c>
      <c r="Y12" s="13">
        <f t="shared" si="7"/>
        <v>85</v>
      </c>
      <c r="Z12" s="12">
        <f t="shared" si="8"/>
        <v>320</v>
      </c>
      <c r="AA12" s="11">
        <f>IFERROR(__xludf.DUMMYFUNCTION("Sum(SORTN({G12; J12; M12; P12; S12; V12; Y12 },5,0,1,FALSE))"),359.0)</f>
        <v>359</v>
      </c>
      <c r="AB12" s="16">
        <f t="shared" si="9"/>
        <v>405</v>
      </c>
      <c r="AC12" s="12">
        <f t="shared" si="10"/>
        <v>64</v>
      </c>
      <c r="AD12" s="11">
        <f t="shared" si="11"/>
        <v>71.8</v>
      </c>
      <c r="AE12" s="14">
        <f t="shared" si="12"/>
        <v>67.5</v>
      </c>
      <c r="AF12" s="12">
        <f t="shared" si="13"/>
        <v>35</v>
      </c>
      <c r="AG12" s="11">
        <f t="shared" si="14"/>
        <v>32</v>
      </c>
      <c r="AH12" s="16">
        <f t="shared" si="15"/>
        <v>34</v>
      </c>
    </row>
    <row r="13">
      <c r="A13" s="11" t="s">
        <v>62</v>
      </c>
      <c r="B13" s="11" t="s">
        <v>63</v>
      </c>
      <c r="C13" s="11" t="s">
        <v>64</v>
      </c>
      <c r="D13" s="11" t="s">
        <v>65</v>
      </c>
      <c r="E13" s="12">
        <v>62.0</v>
      </c>
      <c r="F13" s="11">
        <v>20.0</v>
      </c>
      <c r="G13" s="13">
        <f t="shared" si="1"/>
        <v>82</v>
      </c>
      <c r="H13" s="14">
        <v>77.0</v>
      </c>
      <c r="I13" s="11">
        <v>20.0</v>
      </c>
      <c r="J13" s="13">
        <f t="shared" si="2"/>
        <v>97</v>
      </c>
      <c r="K13" s="15">
        <v>53.0</v>
      </c>
      <c r="L13" s="14">
        <v>20.0</v>
      </c>
      <c r="M13" s="13">
        <f t="shared" si="3"/>
        <v>73</v>
      </c>
      <c r="N13" s="12">
        <v>41.0</v>
      </c>
      <c r="O13" s="14">
        <v>30.0</v>
      </c>
      <c r="P13" s="13">
        <f t="shared" si="4"/>
        <v>71</v>
      </c>
      <c r="Q13" s="12">
        <v>40.0</v>
      </c>
      <c r="R13" s="14">
        <v>30.0</v>
      </c>
      <c r="S13" s="13">
        <f t="shared" si="5"/>
        <v>70</v>
      </c>
      <c r="T13" s="12">
        <v>0.0</v>
      </c>
      <c r="U13" s="11">
        <v>0.0</v>
      </c>
      <c r="V13" s="13">
        <f t="shared" si="6"/>
        <v>0</v>
      </c>
      <c r="W13" s="12">
        <v>43.0</v>
      </c>
      <c r="X13" s="14">
        <v>50.0</v>
      </c>
      <c r="Y13" s="13">
        <f t="shared" si="7"/>
        <v>93</v>
      </c>
      <c r="Z13" s="12">
        <f t="shared" si="8"/>
        <v>393</v>
      </c>
      <c r="AA13" s="11">
        <f>IFERROR(__xludf.DUMMYFUNCTION("Sum(SORTN({G13; J13; M13; P13; S13; V13; Y13 },5,0,1,FALSE))"),416.0)</f>
        <v>416</v>
      </c>
      <c r="AB13" s="16">
        <f t="shared" si="9"/>
        <v>486</v>
      </c>
      <c r="AC13" s="12">
        <f t="shared" si="10"/>
        <v>78.6</v>
      </c>
      <c r="AD13" s="11">
        <f t="shared" si="11"/>
        <v>83.2</v>
      </c>
      <c r="AE13" s="14">
        <f t="shared" si="12"/>
        <v>81</v>
      </c>
      <c r="AF13" s="12">
        <f t="shared" si="13"/>
        <v>8</v>
      </c>
      <c r="AG13" s="11">
        <f t="shared" si="14"/>
        <v>9</v>
      </c>
      <c r="AH13" s="16">
        <f t="shared" si="15"/>
        <v>8</v>
      </c>
    </row>
    <row r="14">
      <c r="A14" s="11" t="s">
        <v>66</v>
      </c>
      <c r="B14" s="11" t="s">
        <v>67</v>
      </c>
      <c r="C14" s="11" t="s">
        <v>68</v>
      </c>
      <c r="D14" s="11" t="s">
        <v>69</v>
      </c>
      <c r="E14" s="12">
        <v>67.0</v>
      </c>
      <c r="F14" s="11">
        <v>20.0</v>
      </c>
      <c r="G14" s="13">
        <f t="shared" si="1"/>
        <v>87</v>
      </c>
      <c r="H14" s="14">
        <v>0.0</v>
      </c>
      <c r="I14" s="11">
        <v>0.0</v>
      </c>
      <c r="J14" s="13">
        <f t="shared" si="2"/>
        <v>0</v>
      </c>
      <c r="K14" s="15">
        <v>62.0</v>
      </c>
      <c r="L14" s="14">
        <v>20.0</v>
      </c>
      <c r="M14" s="13">
        <f t="shared" si="3"/>
        <v>82</v>
      </c>
      <c r="N14" s="12">
        <v>60.0</v>
      </c>
      <c r="O14" s="14">
        <v>30.0</v>
      </c>
      <c r="P14" s="13">
        <f t="shared" si="4"/>
        <v>90</v>
      </c>
      <c r="Q14" s="12">
        <v>48.0</v>
      </c>
      <c r="R14" s="14">
        <v>30.0</v>
      </c>
      <c r="S14" s="13">
        <f t="shared" si="5"/>
        <v>78</v>
      </c>
      <c r="T14" s="12">
        <v>64.0</v>
      </c>
      <c r="U14" s="11">
        <v>30.0</v>
      </c>
      <c r="V14" s="13">
        <f t="shared" si="6"/>
        <v>94</v>
      </c>
      <c r="W14" s="12">
        <v>49.0</v>
      </c>
      <c r="X14" s="14">
        <v>50.0</v>
      </c>
      <c r="Y14" s="13">
        <f t="shared" si="7"/>
        <v>99</v>
      </c>
      <c r="Z14" s="12">
        <f t="shared" si="8"/>
        <v>431</v>
      </c>
      <c r="AA14" s="11">
        <f>IFERROR(__xludf.DUMMYFUNCTION("Sum(SORTN({G14; J14; M14; P14; S14; V14; Y14 },5,0,1,FALSE))"),452.0)</f>
        <v>452</v>
      </c>
      <c r="AB14" s="16">
        <f t="shared" si="9"/>
        <v>530</v>
      </c>
      <c r="AC14" s="12">
        <f t="shared" si="10"/>
        <v>86.2</v>
      </c>
      <c r="AD14" s="11">
        <f t="shared" si="11"/>
        <v>90.4</v>
      </c>
      <c r="AE14" s="14">
        <f t="shared" si="12"/>
        <v>88.3</v>
      </c>
      <c r="AF14" s="12">
        <f t="shared" si="13"/>
        <v>3</v>
      </c>
      <c r="AG14" s="11">
        <f t="shared" si="14"/>
        <v>2</v>
      </c>
      <c r="AH14" s="16">
        <f t="shared" si="15"/>
        <v>1</v>
      </c>
    </row>
    <row r="15">
      <c r="A15" s="11" t="s">
        <v>70</v>
      </c>
      <c r="B15" s="11" t="s">
        <v>71</v>
      </c>
      <c r="C15" s="11" t="s">
        <v>72</v>
      </c>
      <c r="D15" s="11" t="s">
        <v>73</v>
      </c>
      <c r="E15" s="12">
        <v>76.0</v>
      </c>
      <c r="F15" s="11">
        <v>20.0</v>
      </c>
      <c r="G15" s="13">
        <f t="shared" si="1"/>
        <v>96</v>
      </c>
      <c r="H15" s="14">
        <v>0.0</v>
      </c>
      <c r="I15" s="11">
        <v>0.0</v>
      </c>
      <c r="J15" s="13">
        <f t="shared" si="2"/>
        <v>0</v>
      </c>
      <c r="K15" s="15">
        <v>34.0</v>
      </c>
      <c r="L15" s="14">
        <v>19.0</v>
      </c>
      <c r="M15" s="13">
        <f t="shared" si="3"/>
        <v>53</v>
      </c>
      <c r="N15" s="12">
        <v>27.0</v>
      </c>
      <c r="O15" s="14">
        <v>30.0</v>
      </c>
      <c r="P15" s="13">
        <f t="shared" si="4"/>
        <v>57</v>
      </c>
      <c r="Q15" s="12">
        <v>25.0</v>
      </c>
      <c r="R15" s="14">
        <v>30.0</v>
      </c>
      <c r="S15" s="13">
        <f t="shared" si="5"/>
        <v>55</v>
      </c>
      <c r="T15" s="12">
        <v>66.0</v>
      </c>
      <c r="U15" s="11">
        <v>30.0</v>
      </c>
      <c r="V15" s="13">
        <f t="shared" si="6"/>
        <v>96</v>
      </c>
      <c r="W15" s="12">
        <v>45.0</v>
      </c>
      <c r="X15" s="14">
        <v>50.0</v>
      </c>
      <c r="Y15" s="13">
        <f t="shared" si="7"/>
        <v>95</v>
      </c>
      <c r="Z15" s="12">
        <f t="shared" si="8"/>
        <v>357</v>
      </c>
      <c r="AA15" s="11">
        <f>IFERROR(__xludf.DUMMYFUNCTION("Sum(SORTN({G15; J15; M15; P15; S15; V15; Y15 },5,0,1,FALSE))"),399.0)</f>
        <v>399</v>
      </c>
      <c r="AB15" s="16">
        <f t="shared" si="9"/>
        <v>452</v>
      </c>
      <c r="AC15" s="12">
        <f t="shared" si="10"/>
        <v>71.4</v>
      </c>
      <c r="AD15" s="11">
        <f t="shared" si="11"/>
        <v>79.8</v>
      </c>
      <c r="AE15" s="14">
        <f t="shared" si="12"/>
        <v>75.3</v>
      </c>
      <c r="AF15" s="12">
        <f t="shared" si="13"/>
        <v>15</v>
      </c>
      <c r="AG15" s="11">
        <f t="shared" si="14"/>
        <v>12</v>
      </c>
      <c r="AH15" s="16">
        <f t="shared" si="15"/>
        <v>15</v>
      </c>
    </row>
    <row r="16">
      <c r="A16" s="11" t="s">
        <v>74</v>
      </c>
      <c r="B16" s="11" t="s">
        <v>75</v>
      </c>
      <c r="C16" s="11" t="s">
        <v>76</v>
      </c>
      <c r="D16" s="11" t="s">
        <v>77</v>
      </c>
      <c r="E16" s="12">
        <v>75.0</v>
      </c>
      <c r="F16" s="11">
        <v>20.0</v>
      </c>
      <c r="G16" s="13">
        <f t="shared" si="1"/>
        <v>95</v>
      </c>
      <c r="H16" s="14">
        <v>74.0</v>
      </c>
      <c r="I16" s="11">
        <v>20.0</v>
      </c>
      <c r="J16" s="13">
        <f t="shared" si="2"/>
        <v>94</v>
      </c>
      <c r="K16" s="15">
        <v>41.0</v>
      </c>
      <c r="L16" s="14">
        <v>19.0</v>
      </c>
      <c r="M16" s="13">
        <f t="shared" si="3"/>
        <v>60</v>
      </c>
      <c r="N16" s="12">
        <v>42.0</v>
      </c>
      <c r="O16" s="14">
        <v>30.0</v>
      </c>
      <c r="P16" s="13">
        <f t="shared" si="4"/>
        <v>72</v>
      </c>
      <c r="Q16" s="12">
        <v>39.0</v>
      </c>
      <c r="R16" s="14">
        <v>30.0</v>
      </c>
      <c r="S16" s="13">
        <f t="shared" si="5"/>
        <v>69</v>
      </c>
      <c r="T16" s="12">
        <v>0.0</v>
      </c>
      <c r="U16" s="11">
        <v>0.0</v>
      </c>
      <c r="V16" s="13">
        <f t="shared" si="6"/>
        <v>0</v>
      </c>
      <c r="W16" s="12">
        <v>45.0</v>
      </c>
      <c r="X16" s="14">
        <v>49.0</v>
      </c>
      <c r="Y16" s="13">
        <f t="shared" si="7"/>
        <v>94</v>
      </c>
      <c r="Z16" s="12">
        <f t="shared" si="8"/>
        <v>390</v>
      </c>
      <c r="AA16" s="11">
        <f>IFERROR(__xludf.DUMMYFUNCTION("Sum(SORTN({G16; J16; M16; P16; S16; V16; Y16 },5,0,1,FALSE))"),424.0)</f>
        <v>424</v>
      </c>
      <c r="AB16" s="16">
        <f t="shared" si="9"/>
        <v>484</v>
      </c>
      <c r="AC16" s="12">
        <f t="shared" si="10"/>
        <v>78</v>
      </c>
      <c r="AD16" s="11">
        <f t="shared" si="11"/>
        <v>84.8</v>
      </c>
      <c r="AE16" s="14">
        <f t="shared" si="12"/>
        <v>80.7</v>
      </c>
      <c r="AF16" s="12">
        <f t="shared" si="13"/>
        <v>9</v>
      </c>
      <c r="AG16" s="11">
        <f t="shared" si="14"/>
        <v>6</v>
      </c>
      <c r="AH16" s="16">
        <f t="shared" si="15"/>
        <v>9</v>
      </c>
    </row>
    <row r="17">
      <c r="A17" s="11" t="s">
        <v>78</v>
      </c>
      <c r="B17" s="11" t="s">
        <v>79</v>
      </c>
      <c r="C17" s="11" t="s">
        <v>80</v>
      </c>
      <c r="D17" s="11" t="s">
        <v>81</v>
      </c>
      <c r="E17" s="12">
        <v>49.0</v>
      </c>
      <c r="F17" s="11">
        <v>20.0</v>
      </c>
      <c r="G17" s="13">
        <f t="shared" si="1"/>
        <v>69</v>
      </c>
      <c r="H17" s="14">
        <v>72.0</v>
      </c>
      <c r="I17" s="11">
        <v>20.0</v>
      </c>
      <c r="J17" s="13">
        <f t="shared" si="2"/>
        <v>92</v>
      </c>
      <c r="K17" s="15">
        <v>26.0</v>
      </c>
      <c r="L17" s="14">
        <v>19.0</v>
      </c>
      <c r="M17" s="13">
        <f t="shared" si="3"/>
        <v>45</v>
      </c>
      <c r="N17" s="12">
        <v>23.0</v>
      </c>
      <c r="O17" s="14">
        <v>30.0</v>
      </c>
      <c r="P17" s="13">
        <f t="shared" si="4"/>
        <v>53</v>
      </c>
      <c r="Q17" s="12">
        <v>6.0</v>
      </c>
      <c r="R17" s="14">
        <v>30.0</v>
      </c>
      <c r="S17" s="13">
        <f t="shared" si="5"/>
        <v>36</v>
      </c>
      <c r="T17" s="12">
        <v>0.0</v>
      </c>
      <c r="U17" s="11">
        <v>0.0</v>
      </c>
      <c r="V17" s="13">
        <f t="shared" si="6"/>
        <v>0</v>
      </c>
      <c r="W17" s="12">
        <v>35.0</v>
      </c>
      <c r="X17" s="14">
        <v>47.0</v>
      </c>
      <c r="Y17" s="13">
        <f t="shared" si="7"/>
        <v>82</v>
      </c>
      <c r="Z17" s="12">
        <f t="shared" si="8"/>
        <v>295</v>
      </c>
      <c r="AA17" s="11">
        <f>IFERROR(__xludf.DUMMYFUNCTION("Sum(SORTN({G17; J17; M17; P17; S17; V17; Y17 },5,0,1,FALSE))"),341.0)</f>
        <v>341</v>
      </c>
      <c r="AB17" s="16">
        <f t="shared" si="9"/>
        <v>377</v>
      </c>
      <c r="AC17" s="12">
        <f t="shared" si="10"/>
        <v>59</v>
      </c>
      <c r="AD17" s="11">
        <f t="shared" si="11"/>
        <v>68.2</v>
      </c>
      <c r="AE17" s="14">
        <f t="shared" si="12"/>
        <v>62.8</v>
      </c>
      <c r="AF17" s="12">
        <f t="shared" si="13"/>
        <v>40</v>
      </c>
      <c r="AG17" s="11">
        <f t="shared" si="14"/>
        <v>39</v>
      </c>
      <c r="AH17" s="16">
        <f t="shared" si="15"/>
        <v>40</v>
      </c>
    </row>
    <row r="18">
      <c r="A18" s="11" t="s">
        <v>82</v>
      </c>
      <c r="B18" s="11" t="s">
        <v>83</v>
      </c>
      <c r="C18" s="11" t="s">
        <v>84</v>
      </c>
      <c r="D18" s="11" t="s">
        <v>85</v>
      </c>
      <c r="E18" s="12">
        <v>64.0</v>
      </c>
      <c r="F18" s="14">
        <v>18.0</v>
      </c>
      <c r="G18" s="13">
        <f t="shared" si="1"/>
        <v>82</v>
      </c>
      <c r="H18" s="14">
        <v>74.0</v>
      </c>
      <c r="I18" s="11">
        <v>19.0</v>
      </c>
      <c r="J18" s="13">
        <f t="shared" si="2"/>
        <v>93</v>
      </c>
      <c r="K18" s="15">
        <v>37.0</v>
      </c>
      <c r="L18" s="14">
        <v>20.0</v>
      </c>
      <c r="M18" s="13">
        <f t="shared" si="3"/>
        <v>57</v>
      </c>
      <c r="N18" s="12">
        <v>31.0</v>
      </c>
      <c r="O18" s="14">
        <v>29.0</v>
      </c>
      <c r="P18" s="13">
        <f t="shared" si="4"/>
        <v>60</v>
      </c>
      <c r="Q18" s="12">
        <v>23.0</v>
      </c>
      <c r="R18" s="14">
        <v>29.0</v>
      </c>
      <c r="S18" s="13">
        <f t="shared" si="5"/>
        <v>52</v>
      </c>
      <c r="T18" s="12">
        <v>0.0</v>
      </c>
      <c r="U18" s="11">
        <v>0.0</v>
      </c>
      <c r="V18" s="13">
        <f t="shared" si="6"/>
        <v>0</v>
      </c>
      <c r="W18" s="12">
        <v>34.0</v>
      </c>
      <c r="X18" s="14">
        <v>45.0</v>
      </c>
      <c r="Y18" s="13">
        <f t="shared" si="7"/>
        <v>79</v>
      </c>
      <c r="Z18" s="12">
        <f t="shared" si="8"/>
        <v>344</v>
      </c>
      <c r="AA18" s="11">
        <f>IFERROR(__xludf.DUMMYFUNCTION("Sum(SORTN({G18; J18; M18; P18; S18; V18; Y18 },5,0,1,FALSE))"),371.0)</f>
        <v>371</v>
      </c>
      <c r="AB18" s="16">
        <f t="shared" si="9"/>
        <v>423</v>
      </c>
      <c r="AC18" s="12">
        <f t="shared" si="10"/>
        <v>68.8</v>
      </c>
      <c r="AD18" s="11">
        <f t="shared" si="11"/>
        <v>74.2</v>
      </c>
      <c r="AE18" s="14">
        <f t="shared" si="12"/>
        <v>70.5</v>
      </c>
      <c r="AF18" s="12">
        <f t="shared" si="13"/>
        <v>21</v>
      </c>
      <c r="AG18" s="11">
        <f t="shared" si="14"/>
        <v>26</v>
      </c>
      <c r="AH18" s="16">
        <f t="shared" si="15"/>
        <v>24</v>
      </c>
    </row>
    <row r="19">
      <c r="A19" s="11" t="s">
        <v>86</v>
      </c>
      <c r="B19" s="11" t="s">
        <v>87</v>
      </c>
      <c r="C19" s="11" t="s">
        <v>88</v>
      </c>
      <c r="D19" s="11" t="s">
        <v>89</v>
      </c>
      <c r="E19" s="12">
        <v>55.0</v>
      </c>
      <c r="F19" s="14">
        <v>19.0</v>
      </c>
      <c r="G19" s="13">
        <f t="shared" si="1"/>
        <v>74</v>
      </c>
      <c r="H19" s="14">
        <v>60.0</v>
      </c>
      <c r="I19" s="11">
        <v>19.0</v>
      </c>
      <c r="J19" s="13">
        <f t="shared" si="2"/>
        <v>79</v>
      </c>
      <c r="K19" s="15">
        <v>38.0</v>
      </c>
      <c r="L19" s="14">
        <v>20.0</v>
      </c>
      <c r="M19" s="13">
        <f t="shared" si="3"/>
        <v>58</v>
      </c>
      <c r="N19" s="12">
        <v>33.0</v>
      </c>
      <c r="O19" s="14">
        <v>29.0</v>
      </c>
      <c r="P19" s="13">
        <f t="shared" si="4"/>
        <v>62</v>
      </c>
      <c r="Q19" s="12">
        <v>23.0</v>
      </c>
      <c r="R19" s="14">
        <v>28.0</v>
      </c>
      <c r="S19" s="13">
        <f t="shared" si="5"/>
        <v>51</v>
      </c>
      <c r="T19" s="12">
        <v>0.0</v>
      </c>
      <c r="U19" s="11">
        <v>0.0</v>
      </c>
      <c r="V19" s="13">
        <f t="shared" si="6"/>
        <v>0</v>
      </c>
      <c r="W19" s="12">
        <v>38.0</v>
      </c>
      <c r="X19" s="14">
        <v>45.0</v>
      </c>
      <c r="Y19" s="13">
        <f t="shared" si="7"/>
        <v>83</v>
      </c>
      <c r="Z19" s="12">
        <f t="shared" si="8"/>
        <v>324</v>
      </c>
      <c r="AA19" s="11">
        <f>IFERROR(__xludf.DUMMYFUNCTION("Sum(SORTN({G19; J19; M19; P19; S19; V19; Y19 },5,0,1,FALSE))"),356.0)</f>
        <v>356</v>
      </c>
      <c r="AB19" s="16">
        <f t="shared" si="9"/>
        <v>407</v>
      </c>
      <c r="AC19" s="12">
        <f t="shared" si="10"/>
        <v>64.8</v>
      </c>
      <c r="AD19" s="11">
        <f t="shared" si="11"/>
        <v>71.2</v>
      </c>
      <c r="AE19" s="14">
        <f t="shared" si="12"/>
        <v>67.8</v>
      </c>
      <c r="AF19" s="12">
        <f t="shared" si="13"/>
        <v>30</v>
      </c>
      <c r="AG19" s="11">
        <f t="shared" si="14"/>
        <v>35</v>
      </c>
      <c r="AH19" s="16">
        <f t="shared" si="15"/>
        <v>33</v>
      </c>
    </row>
    <row r="20">
      <c r="A20" s="11" t="s">
        <v>90</v>
      </c>
      <c r="B20" s="11" t="s">
        <v>91</v>
      </c>
      <c r="C20" s="11" t="s">
        <v>92</v>
      </c>
      <c r="D20" s="11" t="s">
        <v>93</v>
      </c>
      <c r="E20" s="12">
        <v>70.0</v>
      </c>
      <c r="F20" s="11">
        <v>20.0</v>
      </c>
      <c r="G20" s="13">
        <f t="shared" si="1"/>
        <v>90</v>
      </c>
      <c r="H20" s="14">
        <v>0.0</v>
      </c>
      <c r="I20" s="11">
        <v>0.0</v>
      </c>
      <c r="J20" s="13">
        <f t="shared" si="2"/>
        <v>0</v>
      </c>
      <c r="K20" s="15">
        <v>35.0</v>
      </c>
      <c r="L20" s="14">
        <v>20.0</v>
      </c>
      <c r="M20" s="13">
        <f t="shared" si="3"/>
        <v>55</v>
      </c>
      <c r="N20" s="12">
        <v>31.0</v>
      </c>
      <c r="O20" s="14">
        <v>30.0</v>
      </c>
      <c r="P20" s="13">
        <f t="shared" si="4"/>
        <v>61</v>
      </c>
      <c r="Q20" s="12">
        <v>23.0</v>
      </c>
      <c r="R20" s="14">
        <v>30.0</v>
      </c>
      <c r="S20" s="13">
        <f t="shared" si="5"/>
        <v>53</v>
      </c>
      <c r="T20" s="12">
        <v>64.0</v>
      </c>
      <c r="U20" s="11">
        <v>30.0</v>
      </c>
      <c r="V20" s="13">
        <f t="shared" si="6"/>
        <v>94</v>
      </c>
      <c r="W20" s="12">
        <v>44.0</v>
      </c>
      <c r="X20" s="14">
        <v>50.0</v>
      </c>
      <c r="Y20" s="13">
        <f t="shared" si="7"/>
        <v>94</v>
      </c>
      <c r="Z20" s="12">
        <f t="shared" si="8"/>
        <v>353</v>
      </c>
      <c r="AA20" s="11">
        <f>IFERROR(__xludf.DUMMYFUNCTION("Sum(SORTN({G20; J20; M20; P20; S20; V20; Y20 },5,0,1,FALSE))"),394.0)</f>
        <v>394</v>
      </c>
      <c r="AB20" s="16">
        <f t="shared" si="9"/>
        <v>447</v>
      </c>
      <c r="AC20" s="12">
        <f t="shared" si="10"/>
        <v>70.6</v>
      </c>
      <c r="AD20" s="11">
        <f t="shared" si="11"/>
        <v>78.8</v>
      </c>
      <c r="AE20" s="14">
        <f t="shared" si="12"/>
        <v>74.5</v>
      </c>
      <c r="AF20" s="12">
        <f t="shared" si="13"/>
        <v>16</v>
      </c>
      <c r="AG20" s="11">
        <f t="shared" si="14"/>
        <v>15</v>
      </c>
      <c r="AH20" s="16">
        <f t="shared" si="15"/>
        <v>16</v>
      </c>
    </row>
    <row r="21" ht="15.75" customHeight="1">
      <c r="A21" s="11" t="s">
        <v>94</v>
      </c>
      <c r="B21" s="11" t="s">
        <v>95</v>
      </c>
      <c r="C21" s="11" t="s">
        <v>96</v>
      </c>
      <c r="D21" s="11" t="s">
        <v>97</v>
      </c>
      <c r="E21" s="12">
        <v>57.0</v>
      </c>
      <c r="F21" s="11">
        <v>20.0</v>
      </c>
      <c r="G21" s="13">
        <f t="shared" si="1"/>
        <v>77</v>
      </c>
      <c r="H21" s="14">
        <v>0.0</v>
      </c>
      <c r="I21" s="11">
        <v>0.0</v>
      </c>
      <c r="J21" s="13">
        <f t="shared" si="2"/>
        <v>0</v>
      </c>
      <c r="K21" s="15">
        <v>44.0</v>
      </c>
      <c r="L21" s="14">
        <v>19.0</v>
      </c>
      <c r="M21" s="13">
        <f t="shared" si="3"/>
        <v>63</v>
      </c>
      <c r="N21" s="12">
        <v>30.0</v>
      </c>
      <c r="O21" s="14">
        <v>30.0</v>
      </c>
      <c r="P21" s="13">
        <f t="shared" si="4"/>
        <v>60</v>
      </c>
      <c r="Q21" s="12">
        <v>26.0</v>
      </c>
      <c r="R21" s="14">
        <v>30.0</v>
      </c>
      <c r="S21" s="13">
        <f t="shared" si="5"/>
        <v>56</v>
      </c>
      <c r="T21" s="12">
        <v>63.0</v>
      </c>
      <c r="U21" s="11">
        <v>30.0</v>
      </c>
      <c r="V21" s="13">
        <f t="shared" si="6"/>
        <v>93</v>
      </c>
      <c r="W21" s="12">
        <v>39.0</v>
      </c>
      <c r="X21" s="14">
        <v>47.0</v>
      </c>
      <c r="Y21" s="13">
        <f t="shared" si="7"/>
        <v>86</v>
      </c>
      <c r="Z21" s="12">
        <f t="shared" si="8"/>
        <v>349</v>
      </c>
      <c r="AA21" s="11">
        <f>IFERROR(__xludf.DUMMYFUNCTION("Sum(SORTN({G21; J21; M21; P21; S21; V21; Y21 },5,0,1,FALSE))"),379.0)</f>
        <v>379</v>
      </c>
      <c r="AB21" s="16">
        <f t="shared" si="9"/>
        <v>435</v>
      </c>
      <c r="AC21" s="12">
        <f t="shared" si="10"/>
        <v>69.8</v>
      </c>
      <c r="AD21" s="11">
        <f t="shared" si="11"/>
        <v>75.8</v>
      </c>
      <c r="AE21" s="14">
        <f t="shared" si="12"/>
        <v>72.5</v>
      </c>
      <c r="AF21" s="12">
        <f t="shared" si="13"/>
        <v>18</v>
      </c>
      <c r="AG21" s="11">
        <f t="shared" si="14"/>
        <v>19</v>
      </c>
      <c r="AH21" s="16">
        <f t="shared" si="15"/>
        <v>18</v>
      </c>
    </row>
    <row r="22" ht="15.75" customHeight="1">
      <c r="A22" s="11" t="s">
        <v>98</v>
      </c>
      <c r="B22" s="11" t="s">
        <v>99</v>
      </c>
      <c r="C22" s="11" t="s">
        <v>100</v>
      </c>
      <c r="D22" s="11" t="s">
        <v>101</v>
      </c>
      <c r="E22" s="12">
        <v>39.0</v>
      </c>
      <c r="F22" s="14">
        <v>19.0</v>
      </c>
      <c r="G22" s="13">
        <f t="shared" si="1"/>
        <v>58</v>
      </c>
      <c r="H22" s="14">
        <v>77.0</v>
      </c>
      <c r="I22" s="11">
        <v>18.0</v>
      </c>
      <c r="J22" s="13">
        <f t="shared" si="2"/>
        <v>95</v>
      </c>
      <c r="K22" s="15">
        <v>50.0</v>
      </c>
      <c r="L22" s="14">
        <v>20.0</v>
      </c>
      <c r="M22" s="13">
        <f t="shared" si="3"/>
        <v>70</v>
      </c>
      <c r="N22" s="12">
        <v>31.0</v>
      </c>
      <c r="O22" s="14">
        <v>30.0</v>
      </c>
      <c r="P22" s="13">
        <f t="shared" si="4"/>
        <v>61</v>
      </c>
      <c r="Q22" s="12">
        <v>34.0</v>
      </c>
      <c r="R22" s="14">
        <v>30.0</v>
      </c>
      <c r="S22" s="13">
        <f t="shared" si="5"/>
        <v>64</v>
      </c>
      <c r="T22" s="12">
        <v>0.0</v>
      </c>
      <c r="U22" s="11">
        <v>0.0</v>
      </c>
      <c r="V22" s="13">
        <f t="shared" si="6"/>
        <v>0</v>
      </c>
      <c r="W22" s="12">
        <v>38.0</v>
      </c>
      <c r="X22" s="14">
        <v>45.0</v>
      </c>
      <c r="Y22" s="13">
        <f t="shared" si="7"/>
        <v>83</v>
      </c>
      <c r="Z22" s="12">
        <f t="shared" si="8"/>
        <v>348</v>
      </c>
      <c r="AA22" s="11">
        <f>IFERROR(__xludf.DUMMYFUNCTION("Sum(SORTN({G22; J22; M22; P22; S22; V22; Y22 },5,0,1,FALSE))"),373.0)</f>
        <v>373</v>
      </c>
      <c r="AB22" s="16">
        <f t="shared" si="9"/>
        <v>431</v>
      </c>
      <c r="AC22" s="12">
        <f t="shared" si="10"/>
        <v>69.6</v>
      </c>
      <c r="AD22" s="11">
        <f t="shared" si="11"/>
        <v>74.6</v>
      </c>
      <c r="AE22" s="14">
        <f t="shared" si="12"/>
        <v>71.8</v>
      </c>
      <c r="AF22" s="12">
        <f t="shared" si="13"/>
        <v>19</v>
      </c>
      <c r="AG22" s="11">
        <f t="shared" si="14"/>
        <v>22</v>
      </c>
      <c r="AH22" s="16">
        <f t="shared" si="15"/>
        <v>19</v>
      </c>
    </row>
    <row r="23" ht="15.75" customHeight="1">
      <c r="A23" s="11" t="s">
        <v>102</v>
      </c>
      <c r="B23" s="11" t="s">
        <v>103</v>
      </c>
      <c r="C23" s="11" t="s">
        <v>104</v>
      </c>
      <c r="D23" s="11" t="s">
        <v>105</v>
      </c>
      <c r="E23" s="12">
        <v>59.0</v>
      </c>
      <c r="F23" s="11">
        <v>20.0</v>
      </c>
      <c r="G23" s="13">
        <f t="shared" si="1"/>
        <v>79</v>
      </c>
      <c r="H23" s="14">
        <v>0.0</v>
      </c>
      <c r="I23" s="11">
        <v>0.0</v>
      </c>
      <c r="J23" s="13">
        <f t="shared" si="2"/>
        <v>0</v>
      </c>
      <c r="K23" s="15">
        <v>26.0</v>
      </c>
      <c r="L23" s="14">
        <v>20.0</v>
      </c>
      <c r="M23" s="13">
        <f t="shared" si="3"/>
        <v>46</v>
      </c>
      <c r="N23" s="12">
        <v>33.0</v>
      </c>
      <c r="O23" s="14">
        <v>30.0</v>
      </c>
      <c r="P23" s="13">
        <f t="shared" si="4"/>
        <v>63</v>
      </c>
      <c r="Q23" s="12">
        <v>23.0</v>
      </c>
      <c r="R23" s="14">
        <v>30.0</v>
      </c>
      <c r="S23" s="13">
        <f t="shared" si="5"/>
        <v>53</v>
      </c>
      <c r="T23" s="12">
        <v>54.0</v>
      </c>
      <c r="U23" s="11">
        <v>29.0</v>
      </c>
      <c r="V23" s="13">
        <f t="shared" si="6"/>
        <v>83</v>
      </c>
      <c r="W23" s="12">
        <v>41.0</v>
      </c>
      <c r="X23" s="14">
        <v>47.0</v>
      </c>
      <c r="Y23" s="13">
        <f t="shared" si="7"/>
        <v>88</v>
      </c>
      <c r="Z23" s="12">
        <f t="shared" si="8"/>
        <v>324</v>
      </c>
      <c r="AA23" s="11">
        <f>IFERROR(__xludf.DUMMYFUNCTION("Sum(SORTN({G23; J23; M23; P23; S23; V23; Y23 },5,0,1,FALSE))"),366.0)</f>
        <v>366</v>
      </c>
      <c r="AB23" s="16">
        <f t="shared" si="9"/>
        <v>412</v>
      </c>
      <c r="AC23" s="12">
        <f t="shared" si="10"/>
        <v>64.8</v>
      </c>
      <c r="AD23" s="11">
        <f t="shared" si="11"/>
        <v>73.2</v>
      </c>
      <c r="AE23" s="14">
        <f t="shared" si="12"/>
        <v>68.7</v>
      </c>
      <c r="AF23" s="12">
        <f t="shared" si="13"/>
        <v>30</v>
      </c>
      <c r="AG23" s="11">
        <f t="shared" si="14"/>
        <v>28</v>
      </c>
      <c r="AH23" s="16">
        <f t="shared" si="15"/>
        <v>28</v>
      </c>
    </row>
    <row r="24" ht="15.75" customHeight="1">
      <c r="A24" s="11" t="s">
        <v>106</v>
      </c>
      <c r="B24" s="11" t="s">
        <v>107</v>
      </c>
      <c r="C24" s="11" t="s">
        <v>108</v>
      </c>
      <c r="D24" s="11" t="s">
        <v>109</v>
      </c>
      <c r="E24" s="12">
        <v>56.0</v>
      </c>
      <c r="F24" s="11">
        <v>20.0</v>
      </c>
      <c r="G24" s="13">
        <f t="shared" si="1"/>
        <v>76</v>
      </c>
      <c r="H24" s="14">
        <v>0.0</v>
      </c>
      <c r="I24" s="11">
        <v>0.0</v>
      </c>
      <c r="J24" s="13">
        <f t="shared" si="2"/>
        <v>0</v>
      </c>
      <c r="K24" s="15">
        <v>31.0</v>
      </c>
      <c r="L24" s="14">
        <v>20.0</v>
      </c>
      <c r="M24" s="13">
        <f t="shared" si="3"/>
        <v>51</v>
      </c>
      <c r="N24" s="12">
        <v>28.0</v>
      </c>
      <c r="O24" s="14">
        <v>30.0</v>
      </c>
      <c r="P24" s="13">
        <f t="shared" si="4"/>
        <v>58</v>
      </c>
      <c r="Q24" s="12">
        <v>24.0</v>
      </c>
      <c r="R24" s="14">
        <v>30.0</v>
      </c>
      <c r="S24" s="13">
        <f t="shared" si="5"/>
        <v>54</v>
      </c>
      <c r="T24" s="12">
        <v>60.0</v>
      </c>
      <c r="U24" s="11">
        <v>30.0</v>
      </c>
      <c r="V24" s="13">
        <f t="shared" si="6"/>
        <v>90</v>
      </c>
      <c r="W24" s="12">
        <v>44.0</v>
      </c>
      <c r="X24" s="14">
        <v>50.0</v>
      </c>
      <c r="Y24" s="13">
        <f t="shared" si="7"/>
        <v>94</v>
      </c>
      <c r="Z24" s="12">
        <f t="shared" si="8"/>
        <v>329</v>
      </c>
      <c r="AA24" s="11">
        <f>IFERROR(__xludf.DUMMYFUNCTION("Sum(SORTN({G24; J24; M24; P24; S24; V24; Y24 },5,0,1,FALSE))"),372.0)</f>
        <v>372</v>
      </c>
      <c r="AB24" s="16">
        <f t="shared" si="9"/>
        <v>423</v>
      </c>
      <c r="AC24" s="12">
        <f t="shared" si="10"/>
        <v>65.8</v>
      </c>
      <c r="AD24" s="11">
        <f t="shared" si="11"/>
        <v>74.4</v>
      </c>
      <c r="AE24" s="14">
        <f t="shared" si="12"/>
        <v>70.5</v>
      </c>
      <c r="AF24" s="12">
        <f t="shared" si="13"/>
        <v>28</v>
      </c>
      <c r="AG24" s="11">
        <f t="shared" si="14"/>
        <v>24</v>
      </c>
      <c r="AH24" s="16">
        <f t="shared" si="15"/>
        <v>24</v>
      </c>
    </row>
    <row r="25" ht="15.75" customHeight="1">
      <c r="A25" s="11" t="s">
        <v>110</v>
      </c>
      <c r="B25" s="11" t="s">
        <v>111</v>
      </c>
      <c r="C25" s="11" t="s">
        <v>112</v>
      </c>
      <c r="D25" s="11" t="s">
        <v>113</v>
      </c>
      <c r="E25" s="12">
        <v>44.0</v>
      </c>
      <c r="F25" s="11">
        <v>20.0</v>
      </c>
      <c r="G25" s="13">
        <f t="shared" si="1"/>
        <v>64</v>
      </c>
      <c r="H25" s="14">
        <v>0.0</v>
      </c>
      <c r="I25" s="11">
        <v>0.0</v>
      </c>
      <c r="J25" s="13">
        <f t="shared" si="2"/>
        <v>0</v>
      </c>
      <c r="K25" s="15">
        <v>37.0</v>
      </c>
      <c r="L25" s="14">
        <v>19.0</v>
      </c>
      <c r="M25" s="13">
        <f t="shared" si="3"/>
        <v>56</v>
      </c>
      <c r="N25" s="12">
        <v>33.0</v>
      </c>
      <c r="O25" s="14">
        <v>30.0</v>
      </c>
      <c r="P25" s="13">
        <f t="shared" si="4"/>
        <v>63</v>
      </c>
      <c r="Q25" s="12">
        <v>23.0</v>
      </c>
      <c r="R25" s="14">
        <v>30.0</v>
      </c>
      <c r="S25" s="13">
        <f t="shared" si="5"/>
        <v>53</v>
      </c>
      <c r="T25" s="12">
        <v>57.0</v>
      </c>
      <c r="U25" s="11">
        <v>30.0</v>
      </c>
      <c r="V25" s="13">
        <f t="shared" si="6"/>
        <v>87</v>
      </c>
      <c r="W25" s="12">
        <v>32.0</v>
      </c>
      <c r="X25" s="14">
        <v>50.0</v>
      </c>
      <c r="Y25" s="13">
        <f t="shared" si="7"/>
        <v>82</v>
      </c>
      <c r="Z25" s="12">
        <f t="shared" si="8"/>
        <v>323</v>
      </c>
      <c r="AA25" s="11">
        <f>IFERROR(__xludf.DUMMYFUNCTION("Sum(SORTN({G25; J25; M25; P25; S25; V25; Y25 },5,0,1,FALSE))"),352.0)</f>
        <v>352</v>
      </c>
      <c r="AB25" s="16">
        <f t="shared" si="9"/>
        <v>405</v>
      </c>
      <c r="AC25" s="12">
        <f t="shared" si="10"/>
        <v>64.6</v>
      </c>
      <c r="AD25" s="11">
        <f t="shared" si="11"/>
        <v>70.4</v>
      </c>
      <c r="AE25" s="14">
        <f t="shared" si="12"/>
        <v>67.5</v>
      </c>
      <c r="AF25" s="12">
        <f t="shared" si="13"/>
        <v>33</v>
      </c>
      <c r="AG25" s="11">
        <f t="shared" si="14"/>
        <v>37</v>
      </c>
      <c r="AH25" s="16">
        <f t="shared" si="15"/>
        <v>34</v>
      </c>
    </row>
    <row r="26" ht="15.75" customHeight="1">
      <c r="A26" s="11" t="s">
        <v>114</v>
      </c>
      <c r="B26" s="11" t="s">
        <v>115</v>
      </c>
      <c r="C26" s="11" t="s">
        <v>116</v>
      </c>
      <c r="D26" s="11" t="s">
        <v>117</v>
      </c>
      <c r="E26" s="12">
        <v>53.0</v>
      </c>
      <c r="F26" s="11">
        <v>20.0</v>
      </c>
      <c r="G26" s="13">
        <f t="shared" si="1"/>
        <v>73</v>
      </c>
      <c r="H26" s="14">
        <v>68.0</v>
      </c>
      <c r="I26" s="11">
        <v>20.0</v>
      </c>
      <c r="J26" s="13">
        <f t="shared" si="2"/>
        <v>88</v>
      </c>
      <c r="K26" s="15">
        <v>37.0</v>
      </c>
      <c r="L26" s="14">
        <v>19.0</v>
      </c>
      <c r="M26" s="13">
        <f t="shared" si="3"/>
        <v>56</v>
      </c>
      <c r="N26" s="12">
        <v>24.0</v>
      </c>
      <c r="O26" s="14">
        <v>30.0</v>
      </c>
      <c r="P26" s="13">
        <f t="shared" si="4"/>
        <v>54</v>
      </c>
      <c r="Q26" s="12">
        <v>23.0</v>
      </c>
      <c r="R26" s="14">
        <v>30.0</v>
      </c>
      <c r="S26" s="13">
        <f t="shared" si="5"/>
        <v>53</v>
      </c>
      <c r="T26" s="12">
        <v>0.0</v>
      </c>
      <c r="U26" s="11">
        <v>0.0</v>
      </c>
      <c r="V26" s="13">
        <f t="shared" si="6"/>
        <v>0</v>
      </c>
      <c r="W26" s="12">
        <v>36.0</v>
      </c>
      <c r="X26" s="14">
        <v>50.0</v>
      </c>
      <c r="Y26" s="13">
        <f t="shared" si="7"/>
        <v>86</v>
      </c>
      <c r="Z26" s="12">
        <f t="shared" si="8"/>
        <v>324</v>
      </c>
      <c r="AA26" s="11">
        <f>IFERROR(__xludf.DUMMYFUNCTION("Sum(SORTN({G26; J26; M26; P26; S26; V26; Y26 },5,0,1,FALSE))"),357.0)</f>
        <v>357</v>
      </c>
      <c r="AB26" s="16">
        <f t="shared" si="9"/>
        <v>410</v>
      </c>
      <c r="AC26" s="12">
        <f t="shared" si="10"/>
        <v>64.8</v>
      </c>
      <c r="AD26" s="11">
        <f t="shared" si="11"/>
        <v>71.4</v>
      </c>
      <c r="AE26" s="14">
        <f t="shared" si="12"/>
        <v>68.3</v>
      </c>
      <c r="AF26" s="12">
        <f t="shared" si="13"/>
        <v>30</v>
      </c>
      <c r="AG26" s="11">
        <f t="shared" si="14"/>
        <v>34</v>
      </c>
      <c r="AH26" s="16">
        <f t="shared" si="15"/>
        <v>30</v>
      </c>
    </row>
    <row r="27" ht="15.75" customHeight="1">
      <c r="A27" s="11" t="s">
        <v>118</v>
      </c>
      <c r="B27" s="11" t="s">
        <v>119</v>
      </c>
      <c r="C27" s="11" t="s">
        <v>120</v>
      </c>
      <c r="D27" s="11" t="s">
        <v>121</v>
      </c>
      <c r="E27" s="12">
        <v>64.0</v>
      </c>
      <c r="F27" s="14">
        <v>19.0</v>
      </c>
      <c r="G27" s="13">
        <f t="shared" si="1"/>
        <v>83</v>
      </c>
      <c r="H27" s="14">
        <v>0.0</v>
      </c>
      <c r="I27" s="11">
        <v>0.0</v>
      </c>
      <c r="J27" s="13">
        <f t="shared" si="2"/>
        <v>0</v>
      </c>
      <c r="K27" s="15">
        <v>29.0</v>
      </c>
      <c r="L27" s="14">
        <v>19.0</v>
      </c>
      <c r="M27" s="13">
        <f t="shared" si="3"/>
        <v>48</v>
      </c>
      <c r="N27" s="12">
        <v>23.0</v>
      </c>
      <c r="O27" s="14">
        <v>29.0</v>
      </c>
      <c r="P27" s="13">
        <f t="shared" si="4"/>
        <v>52</v>
      </c>
      <c r="Q27" s="12">
        <v>7.0</v>
      </c>
      <c r="R27" s="14">
        <v>28.0</v>
      </c>
      <c r="S27" s="13">
        <f t="shared" si="5"/>
        <v>35</v>
      </c>
      <c r="T27" s="12">
        <v>66.0</v>
      </c>
      <c r="U27" s="11">
        <v>29.0</v>
      </c>
      <c r="V27" s="13">
        <f t="shared" si="6"/>
        <v>95</v>
      </c>
      <c r="W27" s="12">
        <v>34.0</v>
      </c>
      <c r="X27" s="14">
        <v>50.0</v>
      </c>
      <c r="Y27" s="13">
        <f t="shared" si="7"/>
        <v>84</v>
      </c>
      <c r="Z27" s="12">
        <f t="shared" si="8"/>
        <v>313</v>
      </c>
      <c r="AA27" s="11">
        <f>IFERROR(__xludf.DUMMYFUNCTION("Sum(SORTN({G27; J27; M27; P27; S27; V27; Y27 },5,0,1,FALSE))"),362.0)</f>
        <v>362</v>
      </c>
      <c r="AB27" s="16">
        <f t="shared" si="9"/>
        <v>397</v>
      </c>
      <c r="AC27" s="12">
        <f t="shared" si="10"/>
        <v>62.6</v>
      </c>
      <c r="AD27" s="11">
        <f t="shared" si="11"/>
        <v>72.4</v>
      </c>
      <c r="AE27" s="14">
        <f t="shared" si="12"/>
        <v>66.2</v>
      </c>
      <c r="AF27" s="12">
        <f t="shared" si="13"/>
        <v>36</v>
      </c>
      <c r="AG27" s="11">
        <f t="shared" si="14"/>
        <v>29</v>
      </c>
      <c r="AH27" s="16">
        <f t="shared" si="15"/>
        <v>37</v>
      </c>
    </row>
    <row r="28" ht="15.75" customHeight="1">
      <c r="A28" s="11" t="s">
        <v>122</v>
      </c>
      <c r="B28" s="11" t="s">
        <v>123</v>
      </c>
      <c r="C28" s="11" t="s">
        <v>124</v>
      </c>
      <c r="D28" s="11" t="s">
        <v>125</v>
      </c>
      <c r="E28" s="12">
        <v>69.0</v>
      </c>
      <c r="F28" s="11">
        <v>20.0</v>
      </c>
      <c r="G28" s="13">
        <f t="shared" si="1"/>
        <v>89</v>
      </c>
      <c r="H28" s="14">
        <v>0.0</v>
      </c>
      <c r="I28" s="11">
        <v>0.0</v>
      </c>
      <c r="J28" s="13">
        <f t="shared" si="2"/>
        <v>0</v>
      </c>
      <c r="K28" s="15">
        <v>57.0</v>
      </c>
      <c r="L28" s="14">
        <v>20.0</v>
      </c>
      <c r="M28" s="13">
        <f t="shared" si="3"/>
        <v>77</v>
      </c>
      <c r="N28" s="12">
        <v>48.0</v>
      </c>
      <c r="O28" s="14">
        <v>30.0</v>
      </c>
      <c r="P28" s="13">
        <f t="shared" si="4"/>
        <v>78</v>
      </c>
      <c r="Q28" s="12">
        <v>54.0</v>
      </c>
      <c r="R28" s="14">
        <v>30.0</v>
      </c>
      <c r="S28" s="13">
        <f t="shared" si="5"/>
        <v>84</v>
      </c>
      <c r="T28" s="12">
        <v>51.0</v>
      </c>
      <c r="U28" s="11">
        <v>30.0</v>
      </c>
      <c r="V28" s="13">
        <f t="shared" si="6"/>
        <v>81</v>
      </c>
      <c r="W28" s="12">
        <v>41.0</v>
      </c>
      <c r="X28" s="14">
        <v>50.0</v>
      </c>
      <c r="Y28" s="13">
        <f t="shared" si="7"/>
        <v>91</v>
      </c>
      <c r="Z28" s="12">
        <f t="shared" si="8"/>
        <v>409</v>
      </c>
      <c r="AA28" s="11">
        <f>IFERROR(__xludf.DUMMYFUNCTION("Sum(SORTN({G28; J28; M28; P28; S28; V28; Y28 },5,0,1,FALSE))"),423.0)</f>
        <v>423</v>
      </c>
      <c r="AB28" s="16">
        <f t="shared" si="9"/>
        <v>500</v>
      </c>
      <c r="AC28" s="12">
        <f t="shared" si="10"/>
        <v>81.8</v>
      </c>
      <c r="AD28" s="11">
        <f t="shared" si="11"/>
        <v>84.6</v>
      </c>
      <c r="AE28" s="14">
        <f t="shared" si="12"/>
        <v>83.3</v>
      </c>
      <c r="AF28" s="12">
        <f t="shared" si="13"/>
        <v>5</v>
      </c>
      <c r="AG28" s="11">
        <f t="shared" si="14"/>
        <v>7</v>
      </c>
      <c r="AH28" s="16">
        <f t="shared" si="15"/>
        <v>5</v>
      </c>
    </row>
    <row r="29" ht="15.75" customHeight="1">
      <c r="A29" s="11" t="s">
        <v>126</v>
      </c>
      <c r="B29" s="11" t="s">
        <v>127</v>
      </c>
      <c r="C29" s="11" t="s">
        <v>128</v>
      </c>
      <c r="D29" s="11" t="s">
        <v>129</v>
      </c>
      <c r="E29" s="12">
        <v>64.0</v>
      </c>
      <c r="F29" s="11">
        <v>20.0</v>
      </c>
      <c r="G29" s="13">
        <f t="shared" si="1"/>
        <v>84</v>
      </c>
      <c r="H29" s="14">
        <v>0.0</v>
      </c>
      <c r="I29" s="11">
        <v>0.0</v>
      </c>
      <c r="J29" s="13">
        <f t="shared" si="2"/>
        <v>0</v>
      </c>
      <c r="K29" s="15">
        <v>60.0</v>
      </c>
      <c r="L29" s="14">
        <v>20.0</v>
      </c>
      <c r="M29" s="13">
        <f t="shared" si="3"/>
        <v>80</v>
      </c>
      <c r="N29" s="12">
        <v>52.0</v>
      </c>
      <c r="O29" s="14">
        <v>30.0</v>
      </c>
      <c r="P29" s="13">
        <f t="shared" si="4"/>
        <v>82</v>
      </c>
      <c r="Q29" s="12">
        <v>39.0</v>
      </c>
      <c r="R29" s="14">
        <v>30.0</v>
      </c>
      <c r="S29" s="13">
        <f t="shared" si="5"/>
        <v>69</v>
      </c>
      <c r="T29" s="12">
        <v>63.0</v>
      </c>
      <c r="U29" s="11">
        <v>30.0</v>
      </c>
      <c r="V29" s="13">
        <f t="shared" si="6"/>
        <v>93</v>
      </c>
      <c r="W29" s="12">
        <v>39.0</v>
      </c>
      <c r="X29" s="14">
        <v>50.0</v>
      </c>
      <c r="Y29" s="13">
        <f t="shared" si="7"/>
        <v>89</v>
      </c>
      <c r="Z29" s="12">
        <f t="shared" si="8"/>
        <v>408</v>
      </c>
      <c r="AA29" s="11">
        <f>IFERROR(__xludf.DUMMYFUNCTION("Sum(SORTN({G29; J29; M29; P29; S29; V29; Y29 },5,0,1,FALSE))"),428.0)</f>
        <v>428</v>
      </c>
      <c r="AB29" s="16">
        <f t="shared" si="9"/>
        <v>497</v>
      </c>
      <c r="AC29" s="12">
        <f t="shared" si="10"/>
        <v>81.6</v>
      </c>
      <c r="AD29" s="11">
        <f t="shared" si="11"/>
        <v>85.6</v>
      </c>
      <c r="AE29" s="14">
        <f t="shared" si="12"/>
        <v>82.8</v>
      </c>
      <c r="AF29" s="12">
        <f t="shared" si="13"/>
        <v>6</v>
      </c>
      <c r="AG29" s="11">
        <f t="shared" si="14"/>
        <v>5</v>
      </c>
      <c r="AH29" s="16">
        <f t="shared" si="15"/>
        <v>6</v>
      </c>
    </row>
    <row r="30" ht="15.75" customHeight="1">
      <c r="A30" s="11" t="s">
        <v>130</v>
      </c>
      <c r="B30" s="11" t="s">
        <v>131</v>
      </c>
      <c r="C30" s="11" t="s">
        <v>132</v>
      </c>
      <c r="D30" s="11" t="s">
        <v>133</v>
      </c>
      <c r="E30" s="12">
        <v>57.0</v>
      </c>
      <c r="F30" s="11">
        <v>20.0</v>
      </c>
      <c r="G30" s="13">
        <f t="shared" si="1"/>
        <v>77</v>
      </c>
      <c r="H30" s="14">
        <v>0.0</v>
      </c>
      <c r="I30" s="11">
        <v>0.0</v>
      </c>
      <c r="J30" s="13">
        <f t="shared" si="2"/>
        <v>0</v>
      </c>
      <c r="K30" s="15">
        <v>35.0</v>
      </c>
      <c r="L30" s="14">
        <v>19.0</v>
      </c>
      <c r="M30" s="13">
        <f t="shared" si="3"/>
        <v>54</v>
      </c>
      <c r="N30" s="12">
        <v>33.0</v>
      </c>
      <c r="O30" s="14">
        <v>30.0</v>
      </c>
      <c r="P30" s="13">
        <f t="shared" si="4"/>
        <v>63</v>
      </c>
      <c r="Q30" s="12">
        <v>23.0</v>
      </c>
      <c r="R30" s="14">
        <v>30.0</v>
      </c>
      <c r="S30" s="13">
        <f t="shared" si="5"/>
        <v>53</v>
      </c>
      <c r="T30" s="12">
        <v>64.0</v>
      </c>
      <c r="U30" s="11">
        <v>29.0</v>
      </c>
      <c r="V30" s="13">
        <f t="shared" si="6"/>
        <v>93</v>
      </c>
      <c r="W30" s="12">
        <v>34.0</v>
      </c>
      <c r="X30" s="14">
        <v>50.0</v>
      </c>
      <c r="Y30" s="13">
        <f t="shared" si="7"/>
        <v>84</v>
      </c>
      <c r="Z30" s="12">
        <f t="shared" si="8"/>
        <v>340</v>
      </c>
      <c r="AA30" s="11">
        <f>IFERROR(__xludf.DUMMYFUNCTION("Sum(SORTN({G30; J30; M30; P30; S30; V30; Y30 },5,0,1,FALSE))"),371.0)</f>
        <v>371</v>
      </c>
      <c r="AB30" s="16">
        <f t="shared" si="9"/>
        <v>424</v>
      </c>
      <c r="AC30" s="12">
        <f t="shared" si="10"/>
        <v>68</v>
      </c>
      <c r="AD30" s="11">
        <f t="shared" si="11"/>
        <v>74.2</v>
      </c>
      <c r="AE30" s="14">
        <f t="shared" si="12"/>
        <v>70.7</v>
      </c>
      <c r="AF30" s="12">
        <f t="shared" si="13"/>
        <v>22</v>
      </c>
      <c r="AG30" s="11">
        <f t="shared" si="14"/>
        <v>26</v>
      </c>
      <c r="AH30" s="16">
        <f t="shared" si="15"/>
        <v>23</v>
      </c>
    </row>
    <row r="31" ht="15.75" customHeight="1">
      <c r="A31" s="11" t="s">
        <v>134</v>
      </c>
      <c r="B31" s="11" t="s">
        <v>135</v>
      </c>
      <c r="C31" s="11" t="s">
        <v>136</v>
      </c>
      <c r="D31" s="11" t="s">
        <v>137</v>
      </c>
      <c r="E31" s="12">
        <v>68.0</v>
      </c>
      <c r="F31" s="14">
        <v>18.0</v>
      </c>
      <c r="G31" s="13">
        <f t="shared" si="1"/>
        <v>86</v>
      </c>
      <c r="H31" s="14">
        <v>77.0</v>
      </c>
      <c r="I31" s="11">
        <v>19.0</v>
      </c>
      <c r="J31" s="13">
        <f t="shared" si="2"/>
        <v>96</v>
      </c>
      <c r="K31" s="15">
        <v>36.0</v>
      </c>
      <c r="L31" s="14">
        <v>20.0</v>
      </c>
      <c r="M31" s="13">
        <f t="shared" si="3"/>
        <v>56</v>
      </c>
      <c r="N31" s="12">
        <v>29.0</v>
      </c>
      <c r="O31" s="14">
        <v>30.0</v>
      </c>
      <c r="P31" s="13">
        <f t="shared" si="4"/>
        <v>59</v>
      </c>
      <c r="Q31" s="12">
        <v>24.0</v>
      </c>
      <c r="R31" s="14">
        <v>30.0</v>
      </c>
      <c r="S31" s="13">
        <f t="shared" si="5"/>
        <v>54</v>
      </c>
      <c r="T31" s="12">
        <v>0.0</v>
      </c>
      <c r="U31" s="11">
        <v>0.0</v>
      </c>
      <c r="V31" s="13">
        <f t="shared" si="6"/>
        <v>0</v>
      </c>
      <c r="W31" s="12">
        <v>41.0</v>
      </c>
      <c r="X31" s="14">
        <v>49.0</v>
      </c>
      <c r="Y31" s="13">
        <f t="shared" si="7"/>
        <v>90</v>
      </c>
      <c r="Z31" s="12">
        <f t="shared" si="8"/>
        <v>351</v>
      </c>
      <c r="AA31" s="11">
        <f>IFERROR(__xludf.DUMMYFUNCTION("Sum(SORTN({G31; J31; M31; P31; S31; V31; Y31 },5,0,1,FALSE))"),387.0)</f>
        <v>387</v>
      </c>
      <c r="AB31" s="16">
        <f t="shared" si="9"/>
        <v>441</v>
      </c>
      <c r="AC31" s="12">
        <f t="shared" si="10"/>
        <v>70.2</v>
      </c>
      <c r="AD31" s="11">
        <f t="shared" si="11"/>
        <v>77.4</v>
      </c>
      <c r="AE31" s="14">
        <f t="shared" si="12"/>
        <v>73.5</v>
      </c>
      <c r="AF31" s="12">
        <f t="shared" si="13"/>
        <v>17</v>
      </c>
      <c r="AG31" s="11">
        <f t="shared" si="14"/>
        <v>17</v>
      </c>
      <c r="AH31" s="16">
        <f t="shared" si="15"/>
        <v>17</v>
      </c>
    </row>
    <row r="32" ht="15.75" customHeight="1">
      <c r="A32" s="11" t="s">
        <v>138</v>
      </c>
      <c r="B32" s="11" t="s">
        <v>139</v>
      </c>
      <c r="C32" s="11" t="s">
        <v>84</v>
      </c>
      <c r="D32" s="11" t="s">
        <v>140</v>
      </c>
      <c r="E32" s="12">
        <v>61.0</v>
      </c>
      <c r="F32" s="11">
        <v>20.0</v>
      </c>
      <c r="G32" s="13">
        <f t="shared" si="1"/>
        <v>81</v>
      </c>
      <c r="H32" s="14">
        <v>0.0</v>
      </c>
      <c r="I32" s="11">
        <v>0.0</v>
      </c>
      <c r="J32" s="13">
        <f t="shared" si="2"/>
        <v>0</v>
      </c>
      <c r="K32" s="15">
        <v>53.0</v>
      </c>
      <c r="L32" s="14">
        <v>20.0</v>
      </c>
      <c r="M32" s="13">
        <f t="shared" si="3"/>
        <v>73</v>
      </c>
      <c r="N32" s="12">
        <v>35.0</v>
      </c>
      <c r="O32" s="14">
        <v>30.0</v>
      </c>
      <c r="P32" s="13">
        <f t="shared" si="4"/>
        <v>65</v>
      </c>
      <c r="Q32" s="12">
        <v>35.0</v>
      </c>
      <c r="R32" s="14">
        <v>30.0</v>
      </c>
      <c r="S32" s="13">
        <f t="shared" si="5"/>
        <v>65</v>
      </c>
      <c r="T32" s="12">
        <v>60.0</v>
      </c>
      <c r="U32" s="11">
        <v>30.0</v>
      </c>
      <c r="V32" s="13">
        <f t="shared" si="6"/>
        <v>90</v>
      </c>
      <c r="W32" s="12">
        <v>35.0</v>
      </c>
      <c r="X32" s="14">
        <v>49.0</v>
      </c>
      <c r="Y32" s="13">
        <f t="shared" si="7"/>
        <v>84</v>
      </c>
      <c r="Z32" s="12">
        <f t="shared" si="8"/>
        <v>374</v>
      </c>
      <c r="AA32" s="11">
        <f>IFERROR(__xludf.DUMMYFUNCTION("Sum(SORTN({G32; J32; M32; P32; S32; V32; Y32 },5,0,1,FALSE))"),393.0)</f>
        <v>393</v>
      </c>
      <c r="AB32" s="16">
        <f t="shared" si="9"/>
        <v>458</v>
      </c>
      <c r="AC32" s="12">
        <f t="shared" si="10"/>
        <v>74.8</v>
      </c>
      <c r="AD32" s="11">
        <f t="shared" si="11"/>
        <v>78.6</v>
      </c>
      <c r="AE32" s="14">
        <f t="shared" si="12"/>
        <v>76.3</v>
      </c>
      <c r="AF32" s="12">
        <f t="shared" si="13"/>
        <v>12</v>
      </c>
      <c r="AG32" s="11">
        <f t="shared" si="14"/>
        <v>16</v>
      </c>
      <c r="AH32" s="16">
        <f t="shared" si="15"/>
        <v>12</v>
      </c>
    </row>
    <row r="33" ht="15.75" customHeight="1">
      <c r="A33" s="11" t="s">
        <v>141</v>
      </c>
      <c r="B33" s="11" t="s">
        <v>142</v>
      </c>
      <c r="C33" s="11" t="s">
        <v>143</v>
      </c>
      <c r="D33" s="11" t="s">
        <v>144</v>
      </c>
      <c r="E33" s="12">
        <v>68.0</v>
      </c>
      <c r="F33" s="11">
        <v>20.0</v>
      </c>
      <c r="G33" s="13">
        <f t="shared" si="1"/>
        <v>88</v>
      </c>
      <c r="H33" s="14">
        <v>0.0</v>
      </c>
      <c r="I33" s="11">
        <v>0.0</v>
      </c>
      <c r="J33" s="13">
        <f t="shared" si="2"/>
        <v>0</v>
      </c>
      <c r="K33" s="15">
        <v>45.0</v>
      </c>
      <c r="L33" s="14">
        <v>20.0</v>
      </c>
      <c r="M33" s="13">
        <f t="shared" si="3"/>
        <v>65</v>
      </c>
      <c r="N33" s="12">
        <v>48.0</v>
      </c>
      <c r="O33" s="14">
        <v>30.0</v>
      </c>
      <c r="P33" s="13">
        <f t="shared" si="4"/>
        <v>78</v>
      </c>
      <c r="Q33" s="12">
        <v>39.0</v>
      </c>
      <c r="R33" s="14">
        <v>30.0</v>
      </c>
      <c r="S33" s="13">
        <f t="shared" si="5"/>
        <v>69</v>
      </c>
      <c r="T33" s="12">
        <v>67.0</v>
      </c>
      <c r="U33" s="11">
        <v>30.0</v>
      </c>
      <c r="V33" s="13">
        <f t="shared" si="6"/>
        <v>97</v>
      </c>
      <c r="W33" s="12">
        <v>40.0</v>
      </c>
      <c r="X33" s="14">
        <v>50.0</v>
      </c>
      <c r="Y33" s="13">
        <f t="shared" si="7"/>
        <v>90</v>
      </c>
      <c r="Z33" s="12">
        <f t="shared" si="8"/>
        <v>397</v>
      </c>
      <c r="AA33" s="11">
        <f>IFERROR(__xludf.DUMMYFUNCTION("Sum(SORTN({G33; J33; M33; P33; S33; V33; Y33 },5,0,1,FALSE))"),422.0)</f>
        <v>422</v>
      </c>
      <c r="AB33" s="16">
        <f t="shared" si="9"/>
        <v>487</v>
      </c>
      <c r="AC33" s="12">
        <f t="shared" si="10"/>
        <v>79.4</v>
      </c>
      <c r="AD33" s="11">
        <f t="shared" si="11"/>
        <v>84.4</v>
      </c>
      <c r="AE33" s="14">
        <f t="shared" si="12"/>
        <v>81.2</v>
      </c>
      <c r="AF33" s="12">
        <f t="shared" si="13"/>
        <v>7</v>
      </c>
      <c r="AG33" s="11">
        <f t="shared" si="14"/>
        <v>8</v>
      </c>
      <c r="AH33" s="16">
        <f t="shared" si="15"/>
        <v>7</v>
      </c>
    </row>
    <row r="34" ht="15.75" customHeight="1">
      <c r="A34" s="11" t="s">
        <v>145</v>
      </c>
      <c r="B34" s="11" t="s">
        <v>146</v>
      </c>
      <c r="C34" s="11" t="s">
        <v>147</v>
      </c>
      <c r="D34" s="11" t="s">
        <v>148</v>
      </c>
      <c r="E34" s="12">
        <v>57.0</v>
      </c>
      <c r="F34" s="11">
        <v>20.0</v>
      </c>
      <c r="G34" s="13">
        <f t="shared" si="1"/>
        <v>77</v>
      </c>
      <c r="H34" s="14">
        <v>0.0</v>
      </c>
      <c r="I34" s="11">
        <v>0.0</v>
      </c>
      <c r="J34" s="13">
        <f t="shared" si="2"/>
        <v>0</v>
      </c>
      <c r="K34" s="15">
        <v>28.0</v>
      </c>
      <c r="L34" s="14">
        <v>20.0</v>
      </c>
      <c r="M34" s="13">
        <f t="shared" si="3"/>
        <v>48</v>
      </c>
      <c r="N34" s="12">
        <v>23.0</v>
      </c>
      <c r="O34" s="14">
        <v>28.0</v>
      </c>
      <c r="P34" s="13">
        <f t="shared" si="4"/>
        <v>51</v>
      </c>
      <c r="Q34" s="12">
        <v>23.0</v>
      </c>
      <c r="R34" s="14">
        <v>28.0</v>
      </c>
      <c r="S34" s="13">
        <f t="shared" si="5"/>
        <v>51</v>
      </c>
      <c r="T34" s="12">
        <v>40.0</v>
      </c>
      <c r="U34" s="11">
        <v>29.0</v>
      </c>
      <c r="V34" s="13">
        <f t="shared" si="6"/>
        <v>69</v>
      </c>
      <c r="W34" s="12">
        <v>43.0</v>
      </c>
      <c r="X34" s="14">
        <v>40.0</v>
      </c>
      <c r="Y34" s="13">
        <f t="shared" si="7"/>
        <v>83</v>
      </c>
      <c r="Z34" s="12">
        <f t="shared" si="8"/>
        <v>296</v>
      </c>
      <c r="AA34" s="11">
        <f>IFERROR(__xludf.DUMMYFUNCTION("Sum(SORTN({G34; J34; M34; P34; S34; V34; Y34 },5,0,1,FALSE))"),331.0)</f>
        <v>331</v>
      </c>
      <c r="AB34" s="16">
        <f t="shared" si="9"/>
        <v>379</v>
      </c>
      <c r="AC34" s="12">
        <f t="shared" si="10"/>
        <v>59.2</v>
      </c>
      <c r="AD34" s="11">
        <f t="shared" si="11"/>
        <v>66.2</v>
      </c>
      <c r="AE34" s="14">
        <f t="shared" si="12"/>
        <v>63.2</v>
      </c>
      <c r="AF34" s="12">
        <f t="shared" si="13"/>
        <v>39</v>
      </c>
      <c r="AG34" s="11">
        <f t="shared" si="14"/>
        <v>40</v>
      </c>
      <c r="AH34" s="16">
        <f t="shared" si="15"/>
        <v>39</v>
      </c>
    </row>
    <row r="35" ht="15.75" customHeight="1">
      <c r="A35" s="11" t="s">
        <v>149</v>
      </c>
      <c r="B35" s="11" t="s">
        <v>150</v>
      </c>
      <c r="C35" s="11" t="s">
        <v>151</v>
      </c>
      <c r="D35" s="11" t="s">
        <v>152</v>
      </c>
      <c r="E35" s="12">
        <v>67.0</v>
      </c>
      <c r="F35" s="11">
        <v>20.0</v>
      </c>
      <c r="G35" s="13">
        <f t="shared" si="1"/>
        <v>87</v>
      </c>
      <c r="H35" s="14">
        <v>0.0</v>
      </c>
      <c r="I35" s="11">
        <v>0.0</v>
      </c>
      <c r="J35" s="13">
        <f t="shared" si="2"/>
        <v>0</v>
      </c>
      <c r="K35" s="15">
        <v>68.0</v>
      </c>
      <c r="L35" s="14">
        <v>20.0</v>
      </c>
      <c r="M35" s="13">
        <f t="shared" si="3"/>
        <v>88</v>
      </c>
      <c r="N35" s="12">
        <v>60.0</v>
      </c>
      <c r="O35" s="14">
        <v>30.0</v>
      </c>
      <c r="P35" s="13">
        <f t="shared" si="4"/>
        <v>90</v>
      </c>
      <c r="Q35" s="12">
        <v>36.0</v>
      </c>
      <c r="R35" s="14">
        <v>30.0</v>
      </c>
      <c r="S35" s="13">
        <f t="shared" si="5"/>
        <v>66</v>
      </c>
      <c r="T35" s="12">
        <v>68.0</v>
      </c>
      <c r="U35" s="11">
        <v>30.0</v>
      </c>
      <c r="V35" s="13">
        <f t="shared" si="6"/>
        <v>98</v>
      </c>
      <c r="W35" s="12">
        <v>35.0</v>
      </c>
      <c r="X35" s="17">
        <v>40.0</v>
      </c>
      <c r="Y35" s="13">
        <f t="shared" si="7"/>
        <v>75</v>
      </c>
      <c r="Z35" s="12">
        <f t="shared" si="8"/>
        <v>429</v>
      </c>
      <c r="AA35" s="11">
        <f>IFERROR(__xludf.DUMMYFUNCTION("Sum(SORTN({G35; J35; M35; P35; S35; V35; Y35 },5,0,1,FALSE))"),438.0)</f>
        <v>438</v>
      </c>
      <c r="AB35" s="16">
        <f t="shared" si="9"/>
        <v>504</v>
      </c>
      <c r="AC35" s="12">
        <f t="shared" si="10"/>
        <v>85.8</v>
      </c>
      <c r="AD35" s="11">
        <f t="shared" si="11"/>
        <v>87.6</v>
      </c>
      <c r="AE35" s="14">
        <f t="shared" si="12"/>
        <v>84</v>
      </c>
      <c r="AF35" s="12">
        <f t="shared" si="13"/>
        <v>4</v>
      </c>
      <c r="AG35" s="11">
        <f t="shared" si="14"/>
        <v>4</v>
      </c>
      <c r="AH35" s="16">
        <f t="shared" si="15"/>
        <v>4</v>
      </c>
    </row>
    <row r="36" ht="15.75" customHeight="1">
      <c r="A36" s="11" t="s">
        <v>153</v>
      </c>
      <c r="B36" s="11" t="s">
        <v>154</v>
      </c>
      <c r="C36" s="11" t="s">
        <v>155</v>
      </c>
      <c r="D36" s="11" t="s">
        <v>109</v>
      </c>
      <c r="E36" s="12">
        <v>54.0</v>
      </c>
      <c r="F36" s="11">
        <v>20.0</v>
      </c>
      <c r="G36" s="13">
        <f t="shared" si="1"/>
        <v>74</v>
      </c>
      <c r="H36" s="14">
        <v>77.0</v>
      </c>
      <c r="I36" s="11">
        <v>19.0</v>
      </c>
      <c r="J36" s="13">
        <f t="shared" si="2"/>
        <v>96</v>
      </c>
      <c r="K36" s="15">
        <v>45.0</v>
      </c>
      <c r="L36" s="14">
        <v>20.0</v>
      </c>
      <c r="M36" s="13">
        <f t="shared" si="3"/>
        <v>65</v>
      </c>
      <c r="N36" s="12">
        <v>45.0</v>
      </c>
      <c r="O36" s="14">
        <v>30.0</v>
      </c>
      <c r="P36" s="13">
        <f t="shared" si="4"/>
        <v>75</v>
      </c>
      <c r="Q36" s="12">
        <v>24.0</v>
      </c>
      <c r="R36" s="14">
        <v>30.0</v>
      </c>
      <c r="S36" s="13">
        <f t="shared" si="5"/>
        <v>54</v>
      </c>
      <c r="T36" s="12">
        <v>0.0</v>
      </c>
      <c r="U36" s="11">
        <v>0.0</v>
      </c>
      <c r="V36" s="13">
        <f t="shared" si="6"/>
        <v>0</v>
      </c>
      <c r="W36" s="12">
        <v>40.0</v>
      </c>
      <c r="X36" s="14">
        <v>49.0</v>
      </c>
      <c r="Y36" s="13">
        <f t="shared" si="7"/>
        <v>89</v>
      </c>
      <c r="Z36" s="12">
        <f t="shared" si="8"/>
        <v>364</v>
      </c>
      <c r="AA36" s="11">
        <f>IFERROR(__xludf.DUMMYFUNCTION("Sum(SORTN({G36; J36; M36; P36; S36; V36; Y36 },5,0,1,FALSE))"),399.0)</f>
        <v>399</v>
      </c>
      <c r="AB36" s="16">
        <f t="shared" si="9"/>
        <v>453</v>
      </c>
      <c r="AC36" s="12">
        <f t="shared" si="10"/>
        <v>72.8</v>
      </c>
      <c r="AD36" s="11">
        <f t="shared" si="11"/>
        <v>79.8</v>
      </c>
      <c r="AE36" s="14">
        <f t="shared" si="12"/>
        <v>75.5</v>
      </c>
      <c r="AF36" s="12">
        <f t="shared" si="13"/>
        <v>14</v>
      </c>
      <c r="AG36" s="11">
        <f t="shared" si="14"/>
        <v>12</v>
      </c>
      <c r="AH36" s="16">
        <f t="shared" si="15"/>
        <v>14</v>
      </c>
    </row>
    <row r="37" ht="15.75" customHeight="1">
      <c r="A37" s="11" t="s">
        <v>156</v>
      </c>
      <c r="B37" s="11" t="s">
        <v>157</v>
      </c>
      <c r="C37" s="11" t="s">
        <v>72</v>
      </c>
      <c r="D37" s="11" t="s">
        <v>158</v>
      </c>
      <c r="E37" s="12">
        <v>61.0</v>
      </c>
      <c r="F37" s="11">
        <v>20.0</v>
      </c>
      <c r="G37" s="13">
        <f t="shared" si="1"/>
        <v>81</v>
      </c>
      <c r="H37" s="14">
        <v>0.0</v>
      </c>
      <c r="I37" s="11">
        <v>0.0</v>
      </c>
      <c r="J37" s="13">
        <f t="shared" si="2"/>
        <v>0</v>
      </c>
      <c r="K37" s="15">
        <v>39.0</v>
      </c>
      <c r="L37" s="14">
        <v>20.0</v>
      </c>
      <c r="M37" s="13">
        <f t="shared" si="3"/>
        <v>59</v>
      </c>
      <c r="N37" s="12">
        <v>23.0</v>
      </c>
      <c r="O37" s="14">
        <v>30.0</v>
      </c>
      <c r="P37" s="13">
        <f t="shared" si="4"/>
        <v>53</v>
      </c>
      <c r="Q37" s="12">
        <v>25.0</v>
      </c>
      <c r="R37" s="14">
        <v>30.0</v>
      </c>
      <c r="S37" s="13">
        <f t="shared" si="5"/>
        <v>55</v>
      </c>
      <c r="T37" s="12">
        <v>68.0</v>
      </c>
      <c r="U37" s="11">
        <v>30.0</v>
      </c>
      <c r="V37" s="13">
        <f t="shared" si="6"/>
        <v>98</v>
      </c>
      <c r="W37" s="12">
        <v>31.0</v>
      </c>
      <c r="X37" s="14">
        <v>48.0</v>
      </c>
      <c r="Y37" s="13">
        <f t="shared" si="7"/>
        <v>79</v>
      </c>
      <c r="Z37" s="12">
        <f t="shared" si="8"/>
        <v>346</v>
      </c>
      <c r="AA37" s="11">
        <f>IFERROR(__xludf.DUMMYFUNCTION("Sum(SORTN({G37; J37; M37; P37; S37; V37; Y37 },5,0,1,FALSE))"),372.0)</f>
        <v>372</v>
      </c>
      <c r="AB37" s="16">
        <f t="shared" si="9"/>
        <v>425</v>
      </c>
      <c r="AC37" s="12">
        <f t="shared" si="10"/>
        <v>69.2</v>
      </c>
      <c r="AD37" s="11">
        <f t="shared" si="11"/>
        <v>74.4</v>
      </c>
      <c r="AE37" s="14">
        <f t="shared" si="12"/>
        <v>70.8</v>
      </c>
      <c r="AF37" s="12">
        <f t="shared" si="13"/>
        <v>20</v>
      </c>
      <c r="AG37" s="11">
        <f t="shared" si="14"/>
        <v>24</v>
      </c>
      <c r="AH37" s="16">
        <f t="shared" si="15"/>
        <v>21</v>
      </c>
    </row>
    <row r="38" ht="15.75" customHeight="1">
      <c r="A38" s="11" t="s">
        <v>159</v>
      </c>
      <c r="B38" s="11" t="s">
        <v>160</v>
      </c>
      <c r="C38" s="11" t="s">
        <v>161</v>
      </c>
      <c r="D38" s="11" t="s">
        <v>162</v>
      </c>
      <c r="E38" s="12">
        <v>73.0</v>
      </c>
      <c r="F38" s="11">
        <v>20.0</v>
      </c>
      <c r="G38" s="13">
        <f t="shared" si="1"/>
        <v>93</v>
      </c>
      <c r="H38" s="14">
        <v>78.0</v>
      </c>
      <c r="I38" s="11">
        <v>20.0</v>
      </c>
      <c r="J38" s="13">
        <f t="shared" si="2"/>
        <v>98</v>
      </c>
      <c r="K38" s="15">
        <v>61.0</v>
      </c>
      <c r="L38" s="14">
        <v>20.0</v>
      </c>
      <c r="M38" s="13">
        <f t="shared" si="3"/>
        <v>81</v>
      </c>
      <c r="N38" s="12">
        <v>52.0</v>
      </c>
      <c r="O38" s="14">
        <v>30.0</v>
      </c>
      <c r="P38" s="13">
        <f t="shared" si="4"/>
        <v>82</v>
      </c>
      <c r="Q38" s="12">
        <v>49.0</v>
      </c>
      <c r="R38" s="14">
        <v>30.0</v>
      </c>
      <c r="S38" s="13">
        <f t="shared" si="5"/>
        <v>79</v>
      </c>
      <c r="T38" s="12">
        <v>0.0</v>
      </c>
      <c r="U38" s="11">
        <v>0.0</v>
      </c>
      <c r="V38" s="13">
        <f t="shared" si="6"/>
        <v>0</v>
      </c>
      <c r="W38" s="12">
        <v>43.0</v>
      </c>
      <c r="X38" s="14">
        <v>50.0</v>
      </c>
      <c r="Y38" s="13">
        <f t="shared" si="7"/>
        <v>93</v>
      </c>
      <c r="Z38" s="12">
        <f t="shared" si="8"/>
        <v>433</v>
      </c>
      <c r="AA38" s="11">
        <f>IFERROR(__xludf.DUMMYFUNCTION("Sum(SORTN({G38; J38; M38; P38; S38; V38; Y38 },5,0,1,FALSE))"),447.0)</f>
        <v>447</v>
      </c>
      <c r="AB38" s="16">
        <f t="shared" si="9"/>
        <v>526</v>
      </c>
      <c r="AC38" s="12">
        <f t="shared" si="10"/>
        <v>86.6</v>
      </c>
      <c r="AD38" s="11">
        <f t="shared" si="11"/>
        <v>89.4</v>
      </c>
      <c r="AE38" s="14">
        <f t="shared" si="12"/>
        <v>87.7</v>
      </c>
      <c r="AF38" s="12">
        <f t="shared" si="13"/>
        <v>1</v>
      </c>
      <c r="AG38" s="11">
        <f t="shared" si="14"/>
        <v>3</v>
      </c>
      <c r="AH38" s="16">
        <f t="shared" si="15"/>
        <v>3</v>
      </c>
    </row>
    <row r="39" ht="15.75" customHeight="1">
      <c r="A39" s="11" t="s">
        <v>163</v>
      </c>
      <c r="B39" s="11" t="s">
        <v>164</v>
      </c>
      <c r="C39" s="11" t="s">
        <v>165</v>
      </c>
      <c r="D39" s="11" t="s">
        <v>166</v>
      </c>
      <c r="E39" s="12">
        <v>62.0</v>
      </c>
      <c r="F39" s="11">
        <v>20.0</v>
      </c>
      <c r="G39" s="13">
        <f t="shared" si="1"/>
        <v>82</v>
      </c>
      <c r="H39" s="14">
        <v>50.0</v>
      </c>
      <c r="I39" s="11">
        <v>20.0</v>
      </c>
      <c r="J39" s="13">
        <f t="shared" si="2"/>
        <v>70</v>
      </c>
      <c r="K39" s="15">
        <v>26.0</v>
      </c>
      <c r="L39" s="14">
        <v>19.0</v>
      </c>
      <c r="M39" s="13">
        <f t="shared" si="3"/>
        <v>45</v>
      </c>
      <c r="N39" s="12">
        <v>25.0</v>
      </c>
      <c r="O39" s="14">
        <v>30.0</v>
      </c>
      <c r="P39" s="13">
        <f t="shared" si="4"/>
        <v>55</v>
      </c>
      <c r="Q39" s="12">
        <v>23.0</v>
      </c>
      <c r="R39" s="14">
        <v>30.0</v>
      </c>
      <c r="S39" s="13">
        <f t="shared" si="5"/>
        <v>53</v>
      </c>
      <c r="T39" s="12">
        <v>0.0</v>
      </c>
      <c r="U39" s="11">
        <v>0.0</v>
      </c>
      <c r="V39" s="13">
        <f t="shared" si="6"/>
        <v>0</v>
      </c>
      <c r="W39" s="12">
        <v>42.0</v>
      </c>
      <c r="X39" s="14">
        <v>49.0</v>
      </c>
      <c r="Y39" s="13">
        <f t="shared" si="7"/>
        <v>91</v>
      </c>
      <c r="Z39" s="12">
        <f t="shared" si="8"/>
        <v>305</v>
      </c>
      <c r="AA39" s="11">
        <f>IFERROR(__xludf.DUMMYFUNCTION("Sum(SORTN({G39; J39; M39; P39; S39; V39; Y39 },5,0,1,FALSE))"),351.0)</f>
        <v>351</v>
      </c>
      <c r="AB39" s="16">
        <f t="shared" si="9"/>
        <v>396</v>
      </c>
      <c r="AC39" s="12">
        <f t="shared" si="10"/>
        <v>61</v>
      </c>
      <c r="AD39" s="11">
        <f t="shared" si="11"/>
        <v>70.2</v>
      </c>
      <c r="AE39" s="14">
        <f t="shared" si="12"/>
        <v>66</v>
      </c>
      <c r="AF39" s="12">
        <f t="shared" si="13"/>
        <v>38</v>
      </c>
      <c r="AG39" s="11">
        <f t="shared" si="14"/>
        <v>38</v>
      </c>
      <c r="AH39" s="16">
        <f t="shared" si="15"/>
        <v>38</v>
      </c>
    </row>
    <row r="40" ht="15.75" customHeight="1">
      <c r="A40" s="11" t="s">
        <v>167</v>
      </c>
      <c r="B40" s="11" t="s">
        <v>168</v>
      </c>
      <c r="C40" s="11" t="s">
        <v>169</v>
      </c>
      <c r="D40" s="11" t="s">
        <v>170</v>
      </c>
      <c r="E40" s="12">
        <v>57.0</v>
      </c>
      <c r="F40" s="11">
        <v>20.0</v>
      </c>
      <c r="G40" s="13">
        <f t="shared" si="1"/>
        <v>77</v>
      </c>
      <c r="H40" s="14">
        <v>60.0</v>
      </c>
      <c r="I40" s="11">
        <v>19.0</v>
      </c>
      <c r="J40" s="13">
        <f t="shared" si="2"/>
        <v>79</v>
      </c>
      <c r="K40" s="15">
        <v>26.0</v>
      </c>
      <c r="L40" s="14">
        <v>19.0</v>
      </c>
      <c r="M40" s="13">
        <f t="shared" si="3"/>
        <v>45</v>
      </c>
      <c r="N40" s="12">
        <v>25.0</v>
      </c>
      <c r="O40" s="14">
        <v>30.0</v>
      </c>
      <c r="P40" s="13">
        <f t="shared" si="4"/>
        <v>55</v>
      </c>
      <c r="Q40" s="12">
        <v>23.0</v>
      </c>
      <c r="R40" s="14">
        <v>29.0</v>
      </c>
      <c r="S40" s="13">
        <f t="shared" si="5"/>
        <v>52</v>
      </c>
      <c r="T40" s="12">
        <v>0.0</v>
      </c>
      <c r="U40" s="11">
        <v>0.0</v>
      </c>
      <c r="V40" s="13">
        <f t="shared" si="6"/>
        <v>0</v>
      </c>
      <c r="W40" s="12">
        <v>41.0</v>
      </c>
      <c r="X40" s="14">
        <v>50.0</v>
      </c>
      <c r="Y40" s="13">
        <f t="shared" si="7"/>
        <v>91</v>
      </c>
      <c r="Z40" s="12">
        <f t="shared" si="8"/>
        <v>308</v>
      </c>
      <c r="AA40" s="11">
        <f>IFERROR(__xludf.DUMMYFUNCTION("Sum(SORTN({G40; J40; M40; P40; S40; V40; Y40 },5,0,1,FALSE))"),354.0)</f>
        <v>354</v>
      </c>
      <c r="AB40" s="16">
        <f t="shared" si="9"/>
        <v>399</v>
      </c>
      <c r="AC40" s="12">
        <f t="shared" si="10"/>
        <v>61.6</v>
      </c>
      <c r="AD40" s="11">
        <f t="shared" si="11"/>
        <v>70.8</v>
      </c>
      <c r="AE40" s="14">
        <f t="shared" si="12"/>
        <v>66.5</v>
      </c>
      <c r="AF40" s="12">
        <f t="shared" si="13"/>
        <v>37</v>
      </c>
      <c r="AG40" s="11">
        <f t="shared" si="14"/>
        <v>36</v>
      </c>
      <c r="AH40" s="16">
        <f t="shared" si="15"/>
        <v>36</v>
      </c>
    </row>
    <row r="41" ht="15.75" customHeight="1">
      <c r="A41" s="11" t="s">
        <v>171</v>
      </c>
      <c r="B41" s="11" t="s">
        <v>172</v>
      </c>
      <c r="C41" s="11" t="s">
        <v>173</v>
      </c>
      <c r="D41" s="11" t="s">
        <v>174</v>
      </c>
      <c r="E41" s="12">
        <v>50.0</v>
      </c>
      <c r="F41" s="11">
        <v>20.0</v>
      </c>
      <c r="G41" s="13">
        <f t="shared" si="1"/>
        <v>70</v>
      </c>
      <c r="H41" s="14">
        <v>66.0</v>
      </c>
      <c r="I41" s="11">
        <v>19.0</v>
      </c>
      <c r="J41" s="13">
        <f t="shared" si="2"/>
        <v>85</v>
      </c>
      <c r="K41" s="15">
        <v>36.0</v>
      </c>
      <c r="L41" s="14">
        <v>20.0</v>
      </c>
      <c r="M41" s="13">
        <f t="shared" si="3"/>
        <v>56</v>
      </c>
      <c r="N41" s="12">
        <v>38.0</v>
      </c>
      <c r="O41" s="14">
        <v>30.0</v>
      </c>
      <c r="P41" s="13">
        <f t="shared" si="4"/>
        <v>68</v>
      </c>
      <c r="Q41" s="12">
        <v>23.0</v>
      </c>
      <c r="R41" s="14">
        <v>29.0</v>
      </c>
      <c r="S41" s="13">
        <f t="shared" si="5"/>
        <v>52</v>
      </c>
      <c r="T41" s="12">
        <v>0.0</v>
      </c>
      <c r="U41" s="11">
        <v>0.0</v>
      </c>
      <c r="V41" s="13">
        <f t="shared" si="6"/>
        <v>0</v>
      </c>
      <c r="W41" s="12">
        <v>34.0</v>
      </c>
      <c r="X41" s="14">
        <v>45.0</v>
      </c>
      <c r="Y41" s="13">
        <f t="shared" si="7"/>
        <v>79</v>
      </c>
      <c r="Z41" s="12">
        <f t="shared" si="8"/>
        <v>331</v>
      </c>
      <c r="AA41" s="11">
        <f>IFERROR(__xludf.DUMMYFUNCTION("Sum(SORTN({G41; J41; M41; P41; S41; V41; Y41 },5,0,1,FALSE))"),358.0)</f>
        <v>358</v>
      </c>
      <c r="AB41" s="16">
        <f t="shared" si="9"/>
        <v>410</v>
      </c>
      <c r="AC41" s="12">
        <f t="shared" si="10"/>
        <v>66.2</v>
      </c>
      <c r="AD41" s="11">
        <f t="shared" si="11"/>
        <v>71.6</v>
      </c>
      <c r="AE41" s="14">
        <f t="shared" si="12"/>
        <v>68.3</v>
      </c>
      <c r="AF41" s="12">
        <f t="shared" si="13"/>
        <v>27</v>
      </c>
      <c r="AG41" s="11">
        <f t="shared" si="14"/>
        <v>33</v>
      </c>
      <c r="AH41" s="16">
        <f t="shared" si="15"/>
        <v>30</v>
      </c>
    </row>
    <row r="42" ht="15.75" customHeight="1">
      <c r="A42" s="11" t="s">
        <v>175</v>
      </c>
      <c r="B42" s="11" t="s">
        <v>176</v>
      </c>
      <c r="C42" s="11" t="s">
        <v>177</v>
      </c>
      <c r="D42" s="11" t="s">
        <v>178</v>
      </c>
      <c r="E42" s="18">
        <v>53.0</v>
      </c>
      <c r="F42" s="19">
        <v>20.0</v>
      </c>
      <c r="G42" s="20">
        <f t="shared" si="1"/>
        <v>73</v>
      </c>
      <c r="H42" s="21">
        <v>0.0</v>
      </c>
      <c r="I42" s="21">
        <v>0.0</v>
      </c>
      <c r="J42" s="22">
        <f t="shared" si="2"/>
        <v>0</v>
      </c>
      <c r="K42" s="23">
        <v>30.0</v>
      </c>
      <c r="L42" s="21">
        <v>20.0</v>
      </c>
      <c r="M42" s="22">
        <f t="shared" si="3"/>
        <v>50</v>
      </c>
      <c r="N42" s="24">
        <v>32.0</v>
      </c>
      <c r="O42" s="21">
        <v>30.0</v>
      </c>
      <c r="P42" s="22">
        <f t="shared" si="4"/>
        <v>62</v>
      </c>
      <c r="Q42" s="24">
        <v>23.0</v>
      </c>
      <c r="R42" s="21">
        <v>30.0</v>
      </c>
      <c r="S42" s="22">
        <f t="shared" si="5"/>
        <v>53</v>
      </c>
      <c r="T42" s="24">
        <v>67.0</v>
      </c>
      <c r="U42" s="21">
        <v>30.0</v>
      </c>
      <c r="V42" s="22">
        <f t="shared" si="6"/>
        <v>97</v>
      </c>
      <c r="W42" s="24">
        <v>37.0</v>
      </c>
      <c r="X42" s="21">
        <v>39.0</v>
      </c>
      <c r="Y42" s="22">
        <f t="shared" si="7"/>
        <v>76</v>
      </c>
      <c r="Z42" s="24">
        <f t="shared" si="8"/>
        <v>335</v>
      </c>
      <c r="AA42" s="21">
        <f>IFERROR(__xludf.DUMMYFUNCTION("Sum(SORTN({G42; J42; M42; P42; S42; V42; Y42 },5,0,1,FALSE))"),361.0)</f>
        <v>361</v>
      </c>
      <c r="AB42" s="25">
        <f t="shared" si="9"/>
        <v>411</v>
      </c>
      <c r="AC42" s="24">
        <f t="shared" si="10"/>
        <v>67</v>
      </c>
      <c r="AD42" s="19">
        <f t="shared" si="11"/>
        <v>72.2</v>
      </c>
      <c r="AE42" s="19">
        <f t="shared" si="12"/>
        <v>68.5</v>
      </c>
      <c r="AF42" s="24">
        <f t="shared" si="13"/>
        <v>23</v>
      </c>
      <c r="AG42" s="21">
        <f t="shared" si="14"/>
        <v>31</v>
      </c>
      <c r="AH42" s="25">
        <f t="shared" si="15"/>
        <v>29</v>
      </c>
    </row>
    <row r="43" ht="15.75" customHeight="1">
      <c r="A43" s="26" t="s">
        <v>179</v>
      </c>
      <c r="E43" s="26">
        <f t="shared" ref="E43:AB43" si="16">sum(E3:E42)</f>
        <v>2460</v>
      </c>
      <c r="F43" s="26">
        <f t="shared" si="16"/>
        <v>793</v>
      </c>
      <c r="G43" s="26">
        <f t="shared" si="16"/>
        <v>3253</v>
      </c>
      <c r="H43" s="26">
        <f t="shared" si="16"/>
        <v>1193</v>
      </c>
      <c r="I43" s="26">
        <f t="shared" si="16"/>
        <v>331</v>
      </c>
      <c r="J43" s="26">
        <f t="shared" si="16"/>
        <v>1524</v>
      </c>
      <c r="K43" s="26">
        <f t="shared" si="16"/>
        <v>1565</v>
      </c>
      <c r="L43" s="26">
        <f t="shared" si="16"/>
        <v>790</v>
      </c>
      <c r="M43" s="26">
        <f t="shared" si="16"/>
        <v>2355</v>
      </c>
      <c r="N43" s="26">
        <f t="shared" si="16"/>
        <v>1371</v>
      </c>
      <c r="O43" s="26">
        <f t="shared" si="16"/>
        <v>1195</v>
      </c>
      <c r="P43" s="26">
        <f t="shared" si="16"/>
        <v>2566</v>
      </c>
      <c r="Q43" s="26">
        <f t="shared" si="16"/>
        <v>1179</v>
      </c>
      <c r="R43" s="26">
        <f t="shared" si="16"/>
        <v>1190</v>
      </c>
      <c r="S43" s="26">
        <f t="shared" si="16"/>
        <v>2369</v>
      </c>
      <c r="T43" s="26">
        <f t="shared" si="16"/>
        <v>1398</v>
      </c>
      <c r="U43" s="26">
        <f t="shared" si="16"/>
        <v>685</v>
      </c>
      <c r="V43" s="26">
        <f t="shared" si="16"/>
        <v>2083</v>
      </c>
      <c r="W43" s="26">
        <f t="shared" si="16"/>
        <v>1594</v>
      </c>
      <c r="X43" s="26">
        <f t="shared" si="16"/>
        <v>1924</v>
      </c>
      <c r="Y43" s="26">
        <f t="shared" si="16"/>
        <v>3518</v>
      </c>
      <c r="Z43" s="26">
        <f t="shared" si="16"/>
        <v>14150</v>
      </c>
      <c r="AA43" s="26">
        <f t="shared" si="16"/>
        <v>15454</v>
      </c>
      <c r="AB43" s="26">
        <f t="shared" si="16"/>
        <v>17668</v>
      </c>
    </row>
    <row r="44" ht="15.75" customHeight="1">
      <c r="A44" s="26" t="s">
        <v>180</v>
      </c>
      <c r="E44" s="26">
        <f>E43/40</f>
        <v>61.5</v>
      </c>
      <c r="F44" s="26"/>
      <c r="G44" s="26">
        <f>G43/40</f>
        <v>81.325</v>
      </c>
      <c r="H44" s="26">
        <f>round(H43/17,3)</f>
        <v>70.176</v>
      </c>
      <c r="I44" s="26"/>
      <c r="J44" s="26">
        <f>round(J43/17,3)</f>
        <v>89.647</v>
      </c>
      <c r="K44" s="26">
        <f>K43/40</f>
        <v>39.125</v>
      </c>
      <c r="L44" s="26"/>
      <c r="M44" s="26">
        <f t="shared" ref="M44:N44" si="17">M43/40</f>
        <v>58.875</v>
      </c>
      <c r="N44" s="26">
        <f t="shared" si="17"/>
        <v>34.275</v>
      </c>
      <c r="O44" s="26"/>
      <c r="P44" s="26">
        <f t="shared" ref="P44:Q44" si="18">P43/40</f>
        <v>64.15</v>
      </c>
      <c r="Q44" s="26">
        <f t="shared" si="18"/>
        <v>29.475</v>
      </c>
      <c r="R44" s="26"/>
      <c r="S44" s="26">
        <f>S43/40</f>
        <v>59.225</v>
      </c>
      <c r="T44" s="26">
        <f>round(T43/23,3)</f>
        <v>60.783</v>
      </c>
      <c r="U44" s="26"/>
      <c r="V44" s="26">
        <f>round(V43/23,3)</f>
        <v>90.565</v>
      </c>
      <c r="W44" s="26">
        <f>W43/40</f>
        <v>39.85</v>
      </c>
      <c r="X44" s="26"/>
      <c r="Y44" s="26">
        <f t="shared" ref="Y44:AB44" si="19">Y43/40</f>
        <v>87.95</v>
      </c>
      <c r="Z44" s="11">
        <f t="shared" si="19"/>
        <v>353.75</v>
      </c>
      <c r="AA44" s="11">
        <f t="shared" si="19"/>
        <v>386.35</v>
      </c>
      <c r="AB44" s="11">
        <f t="shared" si="19"/>
        <v>441.7</v>
      </c>
      <c r="AC44" s="11">
        <f t="shared" ref="AC44:AE44" si="20">AVERAGE(AC3:AC42)</f>
        <v>70.75</v>
      </c>
      <c r="AD44" s="11">
        <f t="shared" si="20"/>
        <v>77.27</v>
      </c>
      <c r="AE44" s="11">
        <f t="shared" si="20"/>
        <v>73.61</v>
      </c>
    </row>
    <row r="45" ht="15.75" customHeight="1">
      <c r="A45" s="26" t="s">
        <v>181</v>
      </c>
      <c r="E45" s="26">
        <f>MAX(E3:E42)</f>
        <v>76</v>
      </c>
      <c r="G45" s="26">
        <f>MAX(G3:G42)</f>
        <v>96</v>
      </c>
      <c r="H45" s="11">
        <f>max(H3:H42)</f>
        <v>78</v>
      </c>
      <c r="J45" s="26">
        <f t="shared" ref="J45:K45" si="21">MAX(J3:J42)</f>
        <v>98</v>
      </c>
      <c r="K45" s="26">
        <f t="shared" si="21"/>
        <v>68</v>
      </c>
      <c r="M45" s="26">
        <f>MAX(M3:M42)</f>
        <v>88</v>
      </c>
      <c r="N45" s="11">
        <f>max(N3:N42)</f>
        <v>60</v>
      </c>
      <c r="P45" s="26">
        <f t="shared" ref="P45:Q45" si="22">MAX(P3:P42)</f>
        <v>90</v>
      </c>
      <c r="Q45" s="26">
        <f t="shared" si="22"/>
        <v>57</v>
      </c>
      <c r="S45" s="26">
        <f>MAX(S3:S42)</f>
        <v>87</v>
      </c>
      <c r="T45" s="11">
        <f>max(T3:T42)</f>
        <v>68</v>
      </c>
      <c r="V45" s="26">
        <f t="shared" ref="V45:W45" si="23">MAX(V3:V42)</f>
        <v>98</v>
      </c>
      <c r="W45" s="26">
        <f t="shared" si="23"/>
        <v>49</v>
      </c>
      <c r="Y45" s="26">
        <f t="shared" ref="Y45:AE45" si="24">MAX(Y3:Y42)</f>
        <v>99</v>
      </c>
      <c r="Z45" s="26">
        <f t="shared" si="24"/>
        <v>433</v>
      </c>
      <c r="AA45" s="26">
        <f t="shared" si="24"/>
        <v>455</v>
      </c>
      <c r="AB45" s="26">
        <f t="shared" si="24"/>
        <v>530</v>
      </c>
      <c r="AC45" s="26">
        <f t="shared" si="24"/>
        <v>86.6</v>
      </c>
      <c r="AD45" s="26">
        <f t="shared" si="24"/>
        <v>91</v>
      </c>
      <c r="AE45" s="26">
        <f t="shared" si="24"/>
        <v>88.3</v>
      </c>
    </row>
    <row r="46" ht="15.75" customHeight="1">
      <c r="A46" s="26" t="s">
        <v>182</v>
      </c>
      <c r="E46" s="26">
        <f>MINIFS(E3:E42,E3:E42,"&gt;0")</f>
        <v>39</v>
      </c>
      <c r="G46" s="26">
        <f t="shared" ref="G46:H46" si="25">MINIFS(G3:G42,G3:G42,"&gt;0")</f>
        <v>58</v>
      </c>
      <c r="H46" s="26">
        <f t="shared" si="25"/>
        <v>50</v>
      </c>
      <c r="J46" s="26">
        <f t="shared" ref="J46:K46" si="26">MINIFS(J3:J42,J3:J42,"&gt;0")</f>
        <v>70</v>
      </c>
      <c r="K46" s="26">
        <f t="shared" si="26"/>
        <v>26</v>
      </c>
      <c r="M46" s="26">
        <f t="shared" ref="M46:N46" si="27">MINIFS(M3:M42,M3:M42,"&gt;0")</f>
        <v>45</v>
      </c>
      <c r="N46" s="26">
        <f t="shared" si="27"/>
        <v>23</v>
      </c>
      <c r="P46" s="26">
        <f t="shared" ref="P46:Q46" si="28">MINIFS(P3:P42,P3:P42,"&gt;0")</f>
        <v>51</v>
      </c>
      <c r="Q46" s="26">
        <f t="shared" si="28"/>
        <v>6</v>
      </c>
      <c r="S46" s="26">
        <f t="shared" ref="S46:T46" si="29">MINIFS(S3:S42,S3:S42,"&gt;0")</f>
        <v>35</v>
      </c>
      <c r="T46" s="26">
        <f t="shared" si="29"/>
        <v>40</v>
      </c>
      <c r="V46" s="26">
        <f t="shared" ref="V46:W46" si="30">MINIFS(V3:V42,V3:V42,"&gt;0")</f>
        <v>69</v>
      </c>
      <c r="W46" s="26">
        <f t="shared" si="30"/>
        <v>31</v>
      </c>
      <c r="Y46" s="26">
        <f>MINIFS(Y3:Y42,Y3:Y42,"&gt;0")</f>
        <v>75</v>
      </c>
      <c r="Z46" s="26">
        <f t="shared" ref="Z46:AE46" si="31">min(Z3:Z42)</f>
        <v>295</v>
      </c>
      <c r="AA46" s="26">
        <f t="shared" si="31"/>
        <v>331</v>
      </c>
      <c r="AB46" s="26">
        <f t="shared" si="31"/>
        <v>377</v>
      </c>
      <c r="AC46" s="26">
        <f t="shared" si="31"/>
        <v>59</v>
      </c>
      <c r="AD46" s="26">
        <f t="shared" si="31"/>
        <v>66.2</v>
      </c>
      <c r="AE46" s="26">
        <f t="shared" si="31"/>
        <v>62.8</v>
      </c>
    </row>
    <row r="47" ht="15.75" customHeight="1">
      <c r="A47" s="27" t="s">
        <v>183</v>
      </c>
      <c r="E47" s="7">
        <f>COUNTIF(G3:G42,"&gt;=90")</f>
        <v>7</v>
      </c>
      <c r="H47" s="7">
        <f>COUNTIF(J3:J42,"&gt;=90")</f>
        <v>11</v>
      </c>
      <c r="K47" s="7">
        <f>COUNTIF(M3:M42,"&gt;=90")</f>
        <v>0</v>
      </c>
      <c r="N47" s="7">
        <f>COUNTIF(P3:P42,"&gt;=90")</f>
        <v>2</v>
      </c>
      <c r="Q47" s="7">
        <f>COUNTIF(S3:S42,"&gt;=90")</f>
        <v>0</v>
      </c>
      <c r="T47" s="7">
        <f>COUNTIF(V3:V42,"&gt;=90")</f>
        <v>15</v>
      </c>
      <c r="W47" s="7">
        <f>COUNTIF(Y3:Y42,"&gt;=90")</f>
        <v>20</v>
      </c>
      <c r="AC47" s="7">
        <f t="shared" ref="AC47:AE47" si="32">COUNTIF(AC3:AC42,"&gt;=90")</f>
        <v>0</v>
      </c>
      <c r="AD47" s="7">
        <f t="shared" si="32"/>
        <v>2</v>
      </c>
      <c r="AE47" s="7">
        <f t="shared" si="32"/>
        <v>0</v>
      </c>
    </row>
    <row r="48" ht="15.75" customHeight="1">
      <c r="A48" s="27" t="s">
        <v>184</v>
      </c>
      <c r="E48" s="7">
        <f>COUNTIFS(G3:G42,"&lt;90",G3:G42,"&gt;=75")</f>
        <v>23</v>
      </c>
      <c r="H48" s="7">
        <f>COUNTIFS(J3:J42,"&lt;90",J3:J42,"&gt;=75")</f>
        <v>5</v>
      </c>
      <c r="K48" s="7">
        <f>COUNTIFS(M3:M42,"&lt;90",M3:M42,"&gt;=75")</f>
        <v>5</v>
      </c>
      <c r="N48" s="7">
        <f>COUNTIFS(P3:P42,"&lt;90",P3:P42,"&gt;=75")</f>
        <v>6</v>
      </c>
      <c r="Q48" s="7">
        <f>COUNTIFS(S3:S42,"&lt;90",S3:S42,"&gt;=75")</f>
        <v>5</v>
      </c>
      <c r="T48" s="7">
        <f>COUNTIFS(V3:V42,"&lt;90",V3:V42,"&gt;=75")</f>
        <v>7</v>
      </c>
      <c r="W48" s="7">
        <f>COUNTIFS(Y3:Y42,"&lt;90",Y3:Y42,"&gt;=75")</f>
        <v>20</v>
      </c>
      <c r="AA48" s="7"/>
      <c r="AB48" s="7"/>
      <c r="AC48" s="7">
        <f t="shared" ref="AC48:AE48" si="33">COUNTIFS(AC3:AC42,"&lt;90",AC3:AC42,"&gt;=75")</f>
        <v>11</v>
      </c>
      <c r="AD48" s="7">
        <f t="shared" si="33"/>
        <v>19</v>
      </c>
      <c r="AE48" s="7">
        <f t="shared" si="33"/>
        <v>15</v>
      </c>
    </row>
    <row r="49" ht="15.75" customHeight="1">
      <c r="A49" s="27" t="s">
        <v>185</v>
      </c>
      <c r="E49" s="7">
        <f>COUNTIFS(G3:G42,"&lt;75",G3:G42,"&gt;=50")</f>
        <v>10</v>
      </c>
      <c r="H49" s="7">
        <f>COUNTIFS(J3:J42,"&lt;75",J3:J42,"&gt;=50")</f>
        <v>1</v>
      </c>
      <c r="K49" s="7">
        <f>COUNTIFS(M3:M42,"&lt;75",M3:M42,"&gt;=50")</f>
        <v>23</v>
      </c>
      <c r="N49" s="7">
        <f>COUNTIFS(P3:P42,"&lt;75",P3:P42,"&gt;=50")</f>
        <v>32</v>
      </c>
      <c r="Q49" s="7">
        <f>COUNTIFS(S3:S42,"&lt;75",S3:S42,"&gt;=50")</f>
        <v>33</v>
      </c>
      <c r="T49" s="7">
        <f>COUNTIFS(V3:V42,"&lt;75",V3:V42,"&gt;=50")</f>
        <v>1</v>
      </c>
      <c r="W49" s="7">
        <f>COUNTIFS(Y3:Y42,"&lt;75",Y3:Y42,"&gt;=50")</f>
        <v>0</v>
      </c>
      <c r="AB49" s="7"/>
      <c r="AC49" s="7">
        <f t="shared" ref="AC49:AE49" si="34">COUNTIFS(AC4:AC42,"&lt;75",AC4:AC42,"&gt;=50")</f>
        <v>29</v>
      </c>
      <c r="AD49" s="7">
        <f t="shared" si="34"/>
        <v>19</v>
      </c>
      <c r="AE49" s="7">
        <f t="shared" si="34"/>
        <v>25</v>
      </c>
    </row>
    <row r="50" ht="15.75" customHeight="1">
      <c r="A50" s="27" t="s">
        <v>186</v>
      </c>
      <c r="E50" s="7">
        <f>COUNTIF(G3:G42,"&lt;50")</f>
        <v>0</v>
      </c>
      <c r="H50" s="7">
        <f>COUNTIF(J3:J42,"&lt;50")</f>
        <v>23</v>
      </c>
      <c r="K50" s="7">
        <f>COUNTIF(M3:M42,"&lt;50")</f>
        <v>12</v>
      </c>
      <c r="N50" s="7">
        <f>COUNTIF(P3:P42,"&lt;50")</f>
        <v>0</v>
      </c>
      <c r="Q50" s="7">
        <f>COUNTIF(S3:S42,"&lt;50")</f>
        <v>2</v>
      </c>
      <c r="T50" s="7">
        <f>COUNTIF(V3:V42,"&lt;50")</f>
        <v>17</v>
      </c>
      <c r="W50" s="7">
        <f>COUNTIF(Y3:Y42,"&lt;50")</f>
        <v>0</v>
      </c>
      <c r="AA50" s="7"/>
      <c r="AB50" s="7"/>
      <c r="AC50" s="7">
        <f t="shared" ref="AC50:AE50" si="35">COUNTIF(AC3:AC42,"&lt;50")</f>
        <v>0</v>
      </c>
      <c r="AD50" s="7">
        <f t="shared" si="35"/>
        <v>0</v>
      </c>
      <c r="AE50" s="7">
        <f t="shared" si="35"/>
        <v>0</v>
      </c>
    </row>
  </sheetData>
  <mergeCells count="52">
    <mergeCell ref="E49:G49"/>
    <mergeCell ref="H49:J49"/>
    <mergeCell ref="K49:M49"/>
    <mergeCell ref="N49:P49"/>
    <mergeCell ref="Q49:S49"/>
    <mergeCell ref="T49:V49"/>
    <mergeCell ref="W49:Y49"/>
    <mergeCell ref="A49:D49"/>
    <mergeCell ref="A50:D50"/>
    <mergeCell ref="E50:G50"/>
    <mergeCell ref="H50:J50"/>
    <mergeCell ref="K50:M50"/>
    <mergeCell ref="N50:P50"/>
    <mergeCell ref="Q50:S50"/>
    <mergeCell ref="N1:P1"/>
    <mergeCell ref="Q1:S1"/>
    <mergeCell ref="T1:V1"/>
    <mergeCell ref="W1:Y1"/>
    <mergeCell ref="Z1:AB1"/>
    <mergeCell ref="AC1:AE1"/>
    <mergeCell ref="AF1:AH1"/>
    <mergeCell ref="A1:A2"/>
    <mergeCell ref="B1:B2"/>
    <mergeCell ref="C1:C2"/>
    <mergeCell ref="D1:D2"/>
    <mergeCell ref="E1:G1"/>
    <mergeCell ref="H1:J1"/>
    <mergeCell ref="K1:M1"/>
    <mergeCell ref="K47:M47"/>
    <mergeCell ref="N47:P47"/>
    <mergeCell ref="Q47:S47"/>
    <mergeCell ref="T47:V47"/>
    <mergeCell ref="W47:Y47"/>
    <mergeCell ref="W48:Y48"/>
    <mergeCell ref="AF48:AH48"/>
    <mergeCell ref="AI48:AJ48"/>
    <mergeCell ref="A48:D48"/>
    <mergeCell ref="E48:G48"/>
    <mergeCell ref="H48:J48"/>
    <mergeCell ref="K48:M48"/>
    <mergeCell ref="N48:P48"/>
    <mergeCell ref="Q48:S48"/>
    <mergeCell ref="T48:V48"/>
    <mergeCell ref="A43:D43"/>
    <mergeCell ref="A44:D44"/>
    <mergeCell ref="A45:D45"/>
    <mergeCell ref="A46:D46"/>
    <mergeCell ref="A47:D47"/>
    <mergeCell ref="E47:G47"/>
    <mergeCell ref="H47:J47"/>
    <mergeCell ref="T50:V50"/>
    <mergeCell ref="W50:Y50"/>
  </mergeCells>
  <printOptions/>
  <pageMargins bottom="0.75" footer="0.0" header="0.0" left="0.7" right="0.7" top="0.75"/>
  <pageSetup orientation="landscape"/>
  <drawing r:id="rId1"/>
</worksheet>
</file>